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omputingservices-my.sharepoint.com/personal/lr962_bath_ac_uk/Documents/Experience/Peleton Distressed Case Study/"/>
    </mc:Choice>
  </mc:AlternateContent>
  <xr:revisionPtr revIDLastSave="259" documentId="11_9953675EBB069932A37D656266ECDB3155925C26" xr6:coauthVersionLast="47" xr6:coauthVersionMax="47" xr10:uidLastSave="{B02486A5-E89B-44F0-ACED-B4F90533A869}"/>
  <bookViews>
    <workbookView xWindow="-108" yWindow="-108" windowWidth="23256" windowHeight="12456" tabRatio="500" firstSheet="1" activeTab="4" xr2:uid="{00000000-000D-0000-FFFF-FFFF00000000}"/>
  </bookViews>
  <sheets>
    <sheet name="Cover" sheetId="1" r:id="rId1"/>
    <sheet name="Historical Financials" sheetId="2" r:id="rId2"/>
    <sheet name="Capital Structure" sheetId="3" r:id="rId3"/>
    <sheet name="Liquidity Runway" sheetId="4" r:id="rId4"/>
    <sheet name="Recovery Analysi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3" i="4" l="1"/>
  <c r="H12" i="4"/>
  <c r="C10" i="3"/>
  <c r="D19" i="3" s="1"/>
  <c r="F18" i="2"/>
  <c r="E18" i="2"/>
  <c r="D18" i="2"/>
  <c r="C18" i="2"/>
  <c r="F11" i="2"/>
  <c r="E11" i="2"/>
  <c r="D11" i="2"/>
  <c r="C11" i="2"/>
  <c r="E9" i="2"/>
  <c r="D9" i="2"/>
  <c r="D16" i="3" l="1"/>
  <c r="D15" i="3"/>
  <c r="D17" i="3"/>
  <c r="D18" i="3"/>
</calcChain>
</file>

<file path=xl/sharedStrings.xml><?xml version="1.0" encoding="utf-8"?>
<sst xmlns="http://schemas.openxmlformats.org/spreadsheetml/2006/main" count="196" uniqueCount="165">
  <si>
    <t>PELOTON INTERACTIVE, INC.</t>
  </si>
  <si>
    <t>Distressed Credit Analysis</t>
  </si>
  <si>
    <t>As of LTM Q3 FY2026  |  Ticker: PTON  |  Exchange: NASDAQ</t>
  </si>
  <si>
    <t>TABLE OF CONTENTS</t>
  </si>
  <si>
    <t xml:space="preserve">  1.  Historical Financials</t>
  </si>
  <si>
    <t>Financial summary — revenue, EBITDA, FCF, leverage (FY2023–LTM Q3 FY2026)</t>
  </si>
  <si>
    <t xml:space="preserve">  2.  Capital Structure</t>
  </si>
  <si>
    <t>Debt obligations, maturity schedule, covenants &amp; credit metrics</t>
  </si>
  <si>
    <t xml:space="preserve">  3.  Liquidity Runway</t>
  </si>
  <si>
    <t>Quarterly cash projection: base case vs. stress scenario (Q3 2026–Q3 2027)</t>
  </si>
  <si>
    <t xml:space="preserve">  4.  Recovery Analysis</t>
  </si>
  <si>
    <t>Bear / Base / Bull EV scenarios; creditor waterfall &amp; recovery rates</t>
  </si>
  <si>
    <t>KEY METRICS AT A GLANCE</t>
  </si>
  <si>
    <t>LTM Revenue</t>
  </si>
  <si>
    <t>$2,445m</t>
  </si>
  <si>
    <t>LTM Adj. EBITDA</t>
  </si>
  <si>
    <t>$466m</t>
  </si>
  <si>
    <t>LTM EBITDA Margin</t>
  </si>
  <si>
    <t>19.0%</t>
  </si>
  <si>
    <t>Cash &amp; Equivalents</t>
  </si>
  <si>
    <t>$1,126m</t>
  </si>
  <si>
    <t>Total Debt</t>
  </si>
  <si>
    <t>$1,333m</t>
  </si>
  <si>
    <t>Net Debt</t>
  </si>
  <si>
    <t>$206m</t>
  </si>
  <si>
    <t>Debt / EBITDA</t>
  </si>
  <si>
    <t>2.9x</t>
  </si>
  <si>
    <t>Interest Coverage</t>
  </si>
  <si>
    <t>3.7x</t>
  </si>
  <si>
    <t>2029 Debt Wall</t>
  </si>
  <si>
    <t>PELOTON INTERACTIVE — HISTORICAL FINANCIAL SUMMARY</t>
  </si>
  <si>
    <t>$ in millions  |  Source: Peloton FY2025 10-K, Q3 FY2026 10-Q, Q3 FY2026 Earnings Presentation</t>
  </si>
  <si>
    <t>Blue = Hardcoded Input</t>
  </si>
  <si>
    <t>Black = Formula</t>
  </si>
  <si>
    <t>Green = Cross-sheet Link</t>
  </si>
  <si>
    <t>FY2023</t>
  </si>
  <si>
    <t>FY2024</t>
  </si>
  <si>
    <t>FY2025</t>
  </si>
  <si>
    <t>LTM Q3 FY2026</t>
  </si>
  <si>
    <t>INCOME STATEMENT</t>
  </si>
  <si>
    <t>Revenue</t>
  </si>
  <si>
    <t>YoY Growth</t>
  </si>
  <si>
    <t>—</t>
  </si>
  <si>
    <t>Adjusted EBITDA</t>
  </si>
  <si>
    <t>EBITDA Margin</t>
  </si>
  <si>
    <t>Interest Expense</t>
  </si>
  <si>
    <t>Free Cash Flow</t>
  </si>
  <si>
    <t>BALANCE SHEET (SELECTED)</t>
  </si>
  <si>
    <t>Net Debt / (Cash)</t>
  </si>
  <si>
    <t>Source: Peloton FY2025 10-K, Q3 FY2026 10-Q, Q3 FY2026 Earnings Presentation</t>
  </si>
  <si>
    <t>PELOTON INTERACTIVE — CAPITAL STRUCTURE &amp; COVENANT ANALYSIS</t>
  </si>
  <si>
    <t>$ in millions  |  As of Q3 FY2026  |  Source: Peloton FY2025 10-K, Q3 FY2026 10-Q</t>
  </si>
  <si>
    <t>DEBT OBLIGATIONS</t>
  </si>
  <si>
    <t>Instrument</t>
  </si>
  <si>
    <t>Outstanding ($m)</t>
  </si>
  <si>
    <t>Capacity ($m)</t>
  </si>
  <si>
    <t>Interest Rate</t>
  </si>
  <si>
    <t>Maturity</t>
  </si>
  <si>
    <t>Secured?</t>
  </si>
  <si>
    <t>Notes</t>
  </si>
  <si>
    <t>Term Loan</t>
  </si>
  <si>
    <t>SOFR + 6.00%</t>
  </si>
  <si>
    <t>May 2029</t>
  </si>
  <si>
    <t>Yes</t>
  </si>
  <si>
    <t>Revolving Credit Fac.</t>
  </si>
  <si>
    <t>Floating</t>
  </si>
  <si>
    <t>2029</t>
  </si>
  <si>
    <t>2029 Convertible Notes</t>
  </si>
  <si>
    <t>5.50%</t>
  </si>
  <si>
    <t>Dec 2029</t>
  </si>
  <si>
    <t>No</t>
  </si>
  <si>
    <t>Senior unsecured</t>
  </si>
  <si>
    <t>MATURITY SCHEDULE</t>
  </si>
  <si>
    <t>COVENANT SUMMARY</t>
  </si>
  <si>
    <t>Year</t>
  </si>
  <si>
    <t>Debt Due ($m)</t>
  </si>
  <si>
    <t>% of Total</t>
  </si>
  <si>
    <t>Covenant</t>
  </si>
  <si>
    <t>Requirement ($m)</t>
  </si>
  <si>
    <t>Trigger</t>
  </si>
  <si>
    <t>Current Level ($m)</t>
  </si>
  <si>
    <t>Headroom ($m)</t>
  </si>
  <si>
    <t>2026</t>
  </si>
  <si>
    <t>Minimum Liquidity</t>
  </si>
  <si>
    <t>If revolver drawn</t>
  </si>
  <si>
    <t>2027</t>
  </si>
  <si>
    <t>Subscription Revenue</t>
  </si>
  <si>
    <t>2028</t>
  </si>
  <si>
    <t>2030</t>
  </si>
  <si>
    <t>CREDIT METRICS (LTM)</t>
  </si>
  <si>
    <t>Total Debt / EBITDA</t>
  </si>
  <si>
    <t>Interest Coverage (x)</t>
  </si>
  <si>
    <t>Net Debt / EBITDA</t>
  </si>
  <si>
    <t>PELOTON INTERACTIVE — LIQUIDITY RUNWAY ANALYSIS</t>
  </si>
  <si>
    <t>$ in millions  |  Quarterly projections Q3 FY2026–Q3 FY2027  |  Source: Peloton Q3 FY2026 10-Q &amp; Earnings Presentation</t>
  </si>
  <si>
    <t>BASE CASE</t>
  </si>
  <si>
    <t>Q3 FY2026</t>
  </si>
  <si>
    <t>Q4 FY2026</t>
  </si>
  <si>
    <t>Q1 FY2027</t>
  </si>
  <si>
    <t>Q2 FY2027</t>
  </si>
  <si>
    <t>Q3 FY2027</t>
  </si>
  <si>
    <t>Cumul. FCF</t>
  </si>
  <si>
    <t>Starting Cash</t>
  </si>
  <si>
    <t>(+) EBITDA</t>
  </si>
  <si>
    <t>(-) Interest</t>
  </si>
  <si>
    <t>(-) Capex</t>
  </si>
  <si>
    <t>(+/-) Working Cap</t>
  </si>
  <si>
    <t>Net Cash Flow</t>
  </si>
  <si>
    <t>Ending Cash</t>
  </si>
  <si>
    <t>STRESS SCENARIO</t>
  </si>
  <si>
    <t>SCENARIO COMPARISON SUMMARY</t>
  </si>
  <si>
    <t>Metric</t>
  </si>
  <si>
    <t>Base Case ($m)</t>
  </si>
  <si>
    <t>Stress Case ($m)</t>
  </si>
  <si>
    <t>Delta ($m)</t>
  </si>
  <si>
    <t>Starting Cash (Q3 FY2026)</t>
  </si>
  <si>
    <t>Cumulative Net Cash Flow</t>
  </si>
  <si>
    <t>Ending Cash (Q3 FY2027)</t>
  </si>
  <si>
    <t>2029 Debt Maturity</t>
  </si>
  <si>
    <t>Cash vs. Debt Wall</t>
  </si>
  <si>
    <t>Min. Liquidity Covenant</t>
  </si>
  <si>
    <t>Covenant Headroom</t>
  </si>
  <si>
    <t>STRESS SCENARIO ASSUMPTIONS</t>
  </si>
  <si>
    <t>Risk Factor</t>
  </si>
  <si>
    <t>Impact</t>
  </si>
  <si>
    <t>Hardware demand slowdown</t>
  </si>
  <si>
    <t>Higher capex burn; lower revenue contribution</t>
  </si>
  <si>
    <t>Subscription churn</t>
  </si>
  <si>
    <t>Reduced EBITDA vs. base; lower cash generation</t>
  </si>
  <si>
    <t>Delayed restructuring savings</t>
  </si>
  <si>
    <t>PELOTON INTERACTIVE — RECOVERY ANALYSIS</t>
  </si>
  <si>
    <t>$ in millions  |  Based on LTM Q3 FY2026 financials  |  Source: Peloton FY2025 10-K, Q3 FY2026 10-Q</t>
  </si>
  <si>
    <t>SCENARIO ASSUMPTIONS</t>
  </si>
  <si>
    <t>Scenario</t>
  </si>
  <si>
    <t>EBITDA ($m)</t>
  </si>
  <si>
    <t>EV Multiple</t>
  </si>
  <si>
    <t>Enterprise Value ($m)</t>
  </si>
  <si>
    <t>Bear</t>
  </si>
  <si>
    <t>Base</t>
  </si>
  <si>
    <t>Bull</t>
  </si>
  <si>
    <t>RECOVERY WATERFALL  (Priority of Claims)</t>
  </si>
  <si>
    <t>EV ($m)</t>
  </si>
  <si>
    <t>Revolver</t>
  </si>
  <si>
    <t>After Revolver</t>
  </si>
  <si>
    <t>After TL</t>
  </si>
  <si>
    <t>Conv. Notes</t>
  </si>
  <si>
    <t>Residual Equity</t>
  </si>
  <si>
    <t>RECOVERY RATES BY STAKEHOLDER</t>
  </si>
  <si>
    <t>Stakeholder</t>
  </si>
  <si>
    <t>Face Value ($m)</t>
  </si>
  <si>
    <t>Bear Recovery</t>
  </si>
  <si>
    <t>Base Recovery</t>
  </si>
  <si>
    <t>Bull Recovery</t>
  </si>
  <si>
    <t>Bear (¢/$)</t>
  </si>
  <si>
    <t>100.0¢</t>
  </si>
  <si>
    <t>67.2¢</t>
  </si>
  <si>
    <t>Convertible Notes</t>
  </si>
  <si>
    <t>0.0¢</t>
  </si>
  <si>
    <t>Equity</t>
  </si>
  <si>
    <t>KEY TAKEAWAY  |  Bear case (EBITDA $220m × 3x = EV $660m): The term loan recovers only 67.2 cents on the dollar. Convertible notes and equity receive zero. Base case (EBITDA $450m × 4x = EV $1,800m): All creditors recover in full; residual equity of $467.5m (~$1.08/share). Bull case (EBITDA $600m × 5x = EV $3,000m): All creditors recover in full; residual equity of $1,667.5m (~$3.86/share). The base and bull cases demonstrate meaningful equity option value — the stock's fair value under a stabilisation scenario is not zero. The primary sensitivity is EBITDA trajectory and market multiple assigned at a 2029 refinancing or sale process.</t>
  </si>
  <si>
    <t>Secured by substantially all assets</t>
  </si>
  <si>
    <t>Undrawn, springing covenants if drawn</t>
  </si>
  <si>
    <t>KEY TAKEAWAY  |  Peloton's capital structure remains highly leveraged, with $1,332.5m of debt concentrated in a single 2029 maturity wall. The near-term liquidity position is adequate where cash of $1,126.3m provides $876m of headroom above the $250m springing liquidity covenant. Both financial covenants are springing (triggered only if the revolver is drawn) and as of Q3 FY2026, the revolver is fully undrawn. The primary credit risk is refinancing $1,332.5m of maturities in May–December 2029. At current FCF generation, the company may partially self-fund repayment, but a market refinancing or asset-sale process will likely be required.</t>
  </si>
  <si>
    <t>Prolonged burn</t>
  </si>
  <si>
    <t>KEY TAKEAWAY  |  Under the base case, Peloton generates approximately $359m of cumulative net cash flow through Q3 FY2027, growing ending cash from $1,126.3m to $1,485.3m, providing $152.8m of headroom above the $1,332.5m 2029 debt maturity. Under the stress scenario (lower EBITDA, higher capex, negative working capital), ending cash of $1,211.3m falls $121.2m short of the debt wall. Both scenarios remain comfortably above the $250m springing liquidity covenant. The primary near-term credit risk is not liquidity ,it is the company's ability to refinance in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</si>
</sst>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x"/>
  </numFmts>
  <fonts count="27" x14ac:knownFonts="1">
    <font>
      <sz val="11"/>
      <color theme="1"/>
      <name val="Calibri"/>
      <family val="2"/>
      <charset val="1"/>
    </font>
    <font>
      <b/>
      <sz val="22"/>
      <color rgb="FFFFFFFF"/>
      <name val="Calibri"/>
      <charset val="1"/>
    </font>
    <font>
      <i/>
      <sz val="14"/>
      <color rgb="FFFFFFFF"/>
      <name val="Calibri"/>
      <charset val="1"/>
    </font>
    <font>
      <i/>
      <sz val="10"/>
      <color rgb="FFBDD7EE"/>
      <name val="Calibri"/>
      <charset val="1"/>
    </font>
    <font>
      <b/>
      <sz val="10"/>
      <color rgb="FFFFFFFF"/>
      <name val="Calibri"/>
      <charset val="1"/>
    </font>
    <font>
      <b/>
      <sz val="10"/>
      <color rgb="FF0A2342"/>
      <name val="Calibri"/>
      <charset val="1"/>
    </font>
    <font>
      <i/>
      <sz val="9"/>
      <color rgb="FF595959"/>
      <name val="Calibri"/>
      <charset val="1"/>
    </font>
    <font>
      <sz val="9"/>
      <color rgb="FF595959"/>
      <name val="Calibri"/>
      <charset val="1"/>
    </font>
    <font>
      <i/>
      <sz val="8"/>
      <color rgb="FF595959"/>
      <name val="Calibri"/>
      <charset val="1"/>
    </font>
    <font>
      <b/>
      <sz val="13"/>
      <color rgb="FFFFFFFF"/>
      <name val="Calibri"/>
      <charset val="1"/>
    </font>
    <font>
      <i/>
      <sz val="8"/>
      <color rgb="FF0000FF"/>
      <name val="Calibri"/>
      <charset val="1"/>
    </font>
    <font>
      <i/>
      <sz val="8"/>
      <color rgb="FF000000"/>
      <name val="Calibri"/>
      <charset val="1"/>
    </font>
    <font>
      <i/>
      <sz val="8"/>
      <color rgb="FF006400"/>
      <name val="Calibri"/>
      <charset val="1"/>
    </font>
    <font>
      <b/>
      <sz val="9"/>
      <color rgb="FFFFFFFF"/>
      <name val="Calibri"/>
      <charset val="1"/>
    </font>
    <font>
      <b/>
      <sz val="9"/>
      <color rgb="FF2D2D2D"/>
      <name val="Calibri"/>
      <charset val="1"/>
    </font>
    <font>
      <b/>
      <sz val="9"/>
      <color rgb="FF0000FF"/>
      <name val="Calibri"/>
      <charset val="1"/>
    </font>
    <font>
      <i/>
      <sz val="9"/>
      <color rgb="FF2D2D2D"/>
      <name val="Calibri"/>
      <charset val="1"/>
    </font>
    <font>
      <sz val="9"/>
      <color rgb="FF000000"/>
      <name val="Calibri"/>
      <charset val="1"/>
    </font>
    <font>
      <sz val="9"/>
      <color rgb="FF2D2D2D"/>
      <name val="Calibri"/>
      <charset val="1"/>
    </font>
    <font>
      <sz val="9"/>
      <color rgb="FF0000FF"/>
      <name val="Calibri"/>
      <charset val="1"/>
    </font>
    <font>
      <b/>
      <i/>
      <sz val="9"/>
      <color rgb="FF2D2D2D"/>
      <name val="Calibri"/>
      <charset val="1"/>
    </font>
    <font>
      <sz val="9"/>
      <color rgb="FF006400"/>
      <name val="Calibri"/>
      <charset val="1"/>
    </font>
    <font>
      <b/>
      <sz val="9"/>
      <color rgb="FF000000"/>
      <name val="Calibri"/>
      <charset val="1"/>
    </font>
    <font>
      <sz val="9"/>
      <color rgb="FFC00000"/>
      <name val="Calibri"/>
      <charset val="1"/>
    </font>
    <font>
      <b/>
      <sz val="9"/>
      <color rgb="FFC00000"/>
      <name val="Calibri"/>
      <charset val="1"/>
    </font>
    <font>
      <b/>
      <sz val="9"/>
      <color rgb="FF7F6000"/>
      <name val="Calibri"/>
      <charset val="1"/>
    </font>
    <font>
      <b/>
      <sz val="9"/>
      <color rgb="FF375623"/>
      <name val="Calibri"/>
      <charset val="1"/>
    </font>
  </fonts>
  <fills count="13">
    <fill>
      <patternFill patternType="none"/>
    </fill>
    <fill>
      <patternFill patternType="gray125"/>
    </fill>
    <fill>
      <patternFill patternType="solid">
        <fgColor rgb="FF0A2342"/>
        <bgColor rgb="FF2D2D2D"/>
      </patternFill>
    </fill>
    <fill>
      <patternFill patternType="solid">
        <fgColor rgb="FF2E75B6"/>
        <bgColor rgb="FF0066CC"/>
      </patternFill>
    </fill>
    <fill>
      <patternFill patternType="solid">
        <fgColor rgb="FFEBF3FB"/>
        <bgColor rgb="FFF2F2F2"/>
      </patternFill>
    </fill>
    <fill>
      <patternFill patternType="solid">
        <fgColor rgb="FFFFFFFF"/>
        <bgColor rgb="FFF2F2F2"/>
      </patternFill>
    </fill>
    <fill>
      <patternFill patternType="solid">
        <fgColor rgb="FFF2F2F2"/>
        <bgColor rgb="FFEBF3FB"/>
      </patternFill>
    </fill>
    <fill>
      <patternFill patternType="solid">
        <fgColor rgb="FF1F3864"/>
        <bgColor rgb="FF333399"/>
      </patternFill>
    </fill>
    <fill>
      <patternFill patternType="solid">
        <fgColor rgb="FFD6E4F0"/>
        <bgColor rgb="FFE2EFDA"/>
      </patternFill>
    </fill>
    <fill>
      <patternFill patternType="solid">
        <fgColor rgb="FFC00000"/>
        <bgColor rgb="FF800000"/>
      </patternFill>
    </fill>
    <fill>
      <patternFill patternType="solid">
        <fgColor rgb="FFFFEB9C"/>
        <bgColor rgb="FFE2EFDA"/>
      </patternFill>
    </fill>
    <fill>
      <patternFill patternType="solid">
        <fgColor rgb="FFFFC7CE"/>
        <bgColor rgb="FFFFEB9C"/>
      </patternFill>
    </fill>
    <fill>
      <patternFill patternType="solid">
        <fgColor rgb="FFE2EFDA"/>
        <bgColor rgb="FFF2F2F2"/>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s>
  <cellStyleXfs count="1">
    <xf numFmtId="0" fontId="0" fillId="0" borderId="0"/>
  </cellStyleXfs>
  <cellXfs count="133">
    <xf numFmtId="0" fontId="0" fillId="0" borderId="0" xfId="0"/>
    <xf numFmtId="0" fontId="16" fillId="6" borderId="3" xfId="0" applyFont="1" applyFill="1" applyBorder="1" applyAlignment="1">
      <alignment horizontal="left" vertical="center" wrapText="1"/>
    </xf>
    <xf numFmtId="0" fontId="8" fillId="0" borderId="0" xfId="0" applyFont="1" applyAlignment="1">
      <alignment horizontal="left" vertical="center" wrapText="1"/>
    </xf>
    <xf numFmtId="0" fontId="13" fillId="3" borderId="2" xfId="0" applyFont="1" applyFill="1" applyBorder="1" applyAlignment="1">
      <alignment horizontal="left" vertical="center" indent="1"/>
    </xf>
    <xf numFmtId="0" fontId="8" fillId="0" borderId="0" xfId="0" applyFont="1" applyAlignment="1">
      <alignment horizontal="right" vertical="center"/>
    </xf>
    <xf numFmtId="0" fontId="9" fillId="2" borderId="0" xfId="0" applyFont="1" applyFill="1" applyAlignment="1">
      <alignment horizontal="center" vertical="center"/>
    </xf>
    <xf numFmtId="0" fontId="5" fillId="5" borderId="2" xfId="0" applyFont="1" applyFill="1" applyBorder="1" applyAlignment="1">
      <alignment horizontal="right" vertical="center"/>
    </xf>
    <xf numFmtId="0" fontId="5" fillId="4" borderId="2" xfId="0" applyFont="1" applyFill="1" applyBorder="1" applyAlignment="1">
      <alignment horizontal="right" vertical="center"/>
    </xf>
    <xf numFmtId="0" fontId="6" fillId="5" borderId="2" xfId="0" applyFont="1" applyFill="1" applyBorder="1" applyAlignment="1">
      <alignment horizontal="left" vertical="center"/>
    </xf>
    <xf numFmtId="0" fontId="6" fillId="4" borderId="2" xfId="0" applyFont="1" applyFill="1" applyBorder="1" applyAlignment="1">
      <alignment horizontal="left" vertical="center"/>
    </xf>
    <xf numFmtId="0" fontId="3" fillId="2" borderId="0" xfId="0" applyFont="1" applyFill="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3" borderId="0" xfId="0" applyFill="1"/>
    <xf numFmtId="0" fontId="5" fillId="4" borderId="1" xfId="0" applyFont="1" applyFill="1" applyBorder="1" applyAlignment="1">
      <alignment horizontal="left" vertical="center" indent="1"/>
    </xf>
    <xf numFmtId="0" fontId="5" fillId="5" borderId="1" xfId="0" applyFont="1" applyFill="1" applyBorder="1" applyAlignment="1">
      <alignment horizontal="left" vertical="center" indent="1"/>
    </xf>
    <xf numFmtId="0" fontId="7" fillId="4" borderId="1" xfId="0" applyFont="1" applyFill="1" applyBorder="1" applyAlignment="1">
      <alignment horizontal="left" vertical="center" indent="1"/>
    </xf>
    <xf numFmtId="0" fontId="7" fillId="5" borderId="1" xfId="0" applyFont="1" applyFill="1" applyBorder="1" applyAlignment="1">
      <alignment horizontal="left" vertical="center" indent="1"/>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7" borderId="1" xfId="0" applyFont="1" applyFill="1" applyBorder="1" applyAlignment="1">
      <alignment horizontal="center" vertical="center"/>
    </xf>
    <xf numFmtId="0" fontId="14" fillId="4" borderId="1" xfId="0" applyFont="1" applyFill="1" applyBorder="1" applyAlignment="1">
      <alignment horizontal="left" vertical="center" indent="1"/>
    </xf>
    <xf numFmtId="164" fontId="15" fillId="4" borderId="1" xfId="0" applyNumberFormat="1" applyFont="1" applyFill="1" applyBorder="1" applyAlignment="1">
      <alignment horizontal="right" vertical="center"/>
    </xf>
    <xf numFmtId="0" fontId="16" fillId="5" borderId="1" xfId="0" applyFont="1" applyFill="1" applyBorder="1" applyAlignment="1">
      <alignment horizontal="left" vertical="center" indent="2"/>
    </xf>
    <xf numFmtId="165" fontId="17" fillId="5" borderId="1" xfId="0" applyNumberFormat="1" applyFont="1" applyFill="1" applyBorder="1" applyAlignment="1">
      <alignment horizontal="right" vertical="center"/>
    </xf>
    <xf numFmtId="0" fontId="14" fillId="5" borderId="1" xfId="0" applyFont="1" applyFill="1" applyBorder="1" applyAlignment="1">
      <alignment horizontal="left" vertical="center" indent="1"/>
    </xf>
    <xf numFmtId="164" fontId="15" fillId="5" borderId="1" xfId="0" applyNumberFormat="1" applyFont="1" applyFill="1" applyBorder="1" applyAlignment="1">
      <alignment horizontal="right" vertical="center"/>
    </xf>
    <xf numFmtId="0" fontId="18" fillId="4" borderId="1" xfId="0" applyFont="1" applyFill="1" applyBorder="1" applyAlignment="1">
      <alignment horizontal="left" vertical="center" indent="1"/>
    </xf>
    <xf numFmtId="164" fontId="19" fillId="4" borderId="1" xfId="0" applyNumberFormat="1" applyFont="1" applyFill="1" applyBorder="1" applyAlignment="1">
      <alignment horizontal="right" vertical="center"/>
    </xf>
    <xf numFmtId="0" fontId="18" fillId="5" borderId="1" xfId="0" applyFont="1" applyFill="1" applyBorder="1" applyAlignment="1">
      <alignment horizontal="left" vertical="center" indent="1"/>
    </xf>
    <xf numFmtId="164" fontId="19" fillId="5" borderId="1" xfId="0" applyNumberFormat="1" applyFont="1" applyFill="1" applyBorder="1" applyAlignment="1">
      <alignment horizontal="right" vertical="center"/>
    </xf>
    <xf numFmtId="0" fontId="20" fillId="4" borderId="1" xfId="0" applyFont="1" applyFill="1" applyBorder="1" applyAlignment="1">
      <alignment horizontal="left" vertical="center" indent="1"/>
    </xf>
    <xf numFmtId="164" fontId="17" fillId="4" borderId="1" xfId="0" applyNumberFormat="1" applyFont="1" applyFill="1" applyBorder="1" applyAlignment="1">
      <alignment horizontal="right" vertical="center"/>
    </xf>
    <xf numFmtId="49" fontId="17" fillId="4" borderId="1" xfId="0" applyNumberFormat="1" applyFont="1" applyFill="1" applyBorder="1" applyAlignment="1">
      <alignment horizontal="left" vertical="center"/>
    </xf>
    <xf numFmtId="49" fontId="17" fillId="4" borderId="1" xfId="0" applyNumberFormat="1" applyFont="1" applyFill="1" applyBorder="1" applyAlignment="1">
      <alignment horizontal="center" vertical="center"/>
    </xf>
    <xf numFmtId="49" fontId="17" fillId="5" borderId="1" xfId="0" applyNumberFormat="1" applyFont="1" applyFill="1" applyBorder="1" applyAlignment="1">
      <alignment horizontal="left" vertical="center"/>
    </xf>
    <xf numFmtId="49" fontId="17" fillId="5" borderId="1" xfId="0" applyNumberFormat="1" applyFont="1" applyFill="1" applyBorder="1" applyAlignment="1">
      <alignment horizontal="center" vertical="center"/>
    </xf>
    <xf numFmtId="164" fontId="13" fillId="2" borderId="1" xfId="0" applyNumberFormat="1" applyFont="1" applyFill="1" applyBorder="1" applyAlignment="1">
      <alignment horizontal="left" vertical="center" indent="1"/>
    </xf>
    <xf numFmtId="164" fontId="13" fillId="2" borderId="1" xfId="0" applyNumberFormat="1" applyFont="1" applyFill="1" applyBorder="1" applyAlignment="1">
      <alignment horizontal="right" vertical="center"/>
    </xf>
    <xf numFmtId="0" fontId="19" fillId="4" borderId="1" xfId="0" applyFont="1" applyFill="1" applyBorder="1" applyAlignment="1">
      <alignment horizontal="center" vertical="center"/>
    </xf>
    <xf numFmtId="165" fontId="17" fillId="4" borderId="1" xfId="0" applyNumberFormat="1" applyFont="1" applyFill="1" applyBorder="1" applyAlignment="1">
      <alignment horizontal="right" vertical="center"/>
    </xf>
    <xf numFmtId="164" fontId="21" fillId="4" borderId="1" xfId="0" applyNumberFormat="1" applyFont="1" applyFill="1" applyBorder="1" applyAlignment="1">
      <alignment horizontal="right" vertical="center"/>
    </xf>
    <xf numFmtId="0" fontId="19" fillId="5" borderId="1" xfId="0" applyFont="1" applyFill="1" applyBorder="1" applyAlignment="1">
      <alignment horizontal="center" vertical="center"/>
    </xf>
    <xf numFmtId="164" fontId="21" fillId="5" borderId="1" xfId="0" applyNumberFormat="1" applyFont="1" applyFill="1" applyBorder="1" applyAlignment="1">
      <alignment horizontal="right" vertical="center"/>
    </xf>
    <xf numFmtId="0" fontId="0" fillId="4" borderId="1" xfId="0" applyFill="1" applyBorder="1"/>
    <xf numFmtId="0" fontId="0" fillId="5" borderId="1" xfId="0" applyFill="1" applyBorder="1"/>
    <xf numFmtId="166" fontId="15" fillId="4" borderId="1" xfId="0" applyNumberFormat="1" applyFont="1" applyFill="1" applyBorder="1" applyAlignment="1">
      <alignment horizontal="right" vertical="center"/>
    </xf>
    <xf numFmtId="166" fontId="15" fillId="5" borderId="1" xfId="0" applyNumberFormat="1" applyFont="1" applyFill="1" applyBorder="1" applyAlignment="1">
      <alignment horizontal="right" vertical="center"/>
    </xf>
    <xf numFmtId="0" fontId="14" fillId="8" borderId="1" xfId="0" applyFont="1" applyFill="1" applyBorder="1" applyAlignment="1">
      <alignment horizontal="left" vertical="center" indent="1"/>
    </xf>
    <xf numFmtId="164" fontId="22" fillId="8" borderId="1" xfId="0" applyNumberFormat="1" applyFont="1" applyFill="1" applyBorder="1" applyAlignment="1">
      <alignment horizontal="right" vertical="center"/>
    </xf>
    <xf numFmtId="0" fontId="13" fillId="9" borderId="1" xfId="0" applyFont="1" applyFill="1" applyBorder="1" applyAlignment="1">
      <alignment horizontal="center" vertical="center"/>
    </xf>
    <xf numFmtId="164" fontId="23" fillId="5" borderId="1" xfId="0" applyNumberFormat="1" applyFont="1" applyFill="1" applyBorder="1" applyAlignment="1">
      <alignment horizontal="right" vertical="center"/>
    </xf>
    <xf numFmtId="164" fontId="23" fillId="4" borderId="1" xfId="0" applyNumberFormat="1" applyFont="1" applyFill="1" applyBorder="1" applyAlignment="1">
      <alignment horizontal="right" vertical="center"/>
    </xf>
    <xf numFmtId="164" fontId="17" fillId="5" borderId="1" xfId="0" applyNumberFormat="1" applyFont="1" applyFill="1" applyBorder="1" applyAlignment="1">
      <alignment horizontal="right" vertical="center"/>
    </xf>
    <xf numFmtId="164" fontId="15" fillId="10" borderId="1" xfId="0" applyNumberFormat="1" applyFont="1" applyFill="1" applyBorder="1" applyAlignment="1">
      <alignment horizontal="right" vertical="center"/>
    </xf>
    <xf numFmtId="164" fontId="24" fillId="10" borderId="1" xfId="0" applyNumberFormat="1" applyFont="1" applyFill="1" applyBorder="1" applyAlignment="1">
      <alignment horizontal="right" vertical="center"/>
    </xf>
    <xf numFmtId="49" fontId="24" fillId="11" borderId="1" xfId="0" applyNumberFormat="1" applyFont="1" applyFill="1" applyBorder="1" applyAlignment="1">
      <alignment horizontal="center" vertical="center"/>
    </xf>
    <xf numFmtId="164" fontId="24" fillId="11" borderId="1" xfId="0" applyNumberFormat="1" applyFont="1" applyFill="1" applyBorder="1" applyAlignment="1">
      <alignment horizontal="right" vertical="center"/>
    </xf>
    <xf numFmtId="166" fontId="24" fillId="11" borderId="1" xfId="0" applyNumberFormat="1" applyFont="1" applyFill="1" applyBorder="1" applyAlignment="1">
      <alignment horizontal="right" vertical="center"/>
    </xf>
    <xf numFmtId="49" fontId="25" fillId="10" borderId="1" xfId="0" applyNumberFormat="1" applyFont="1" applyFill="1" applyBorder="1" applyAlignment="1">
      <alignment horizontal="center" vertical="center"/>
    </xf>
    <xf numFmtId="164" fontId="25" fillId="10" borderId="1" xfId="0" applyNumberFormat="1" applyFont="1" applyFill="1" applyBorder="1" applyAlignment="1">
      <alignment horizontal="right" vertical="center"/>
    </xf>
    <xf numFmtId="166" fontId="25" fillId="10" borderId="1" xfId="0" applyNumberFormat="1" applyFont="1" applyFill="1" applyBorder="1" applyAlignment="1">
      <alignment horizontal="right" vertical="center"/>
    </xf>
    <xf numFmtId="49" fontId="26" fillId="12" borderId="1" xfId="0" applyNumberFormat="1" applyFont="1" applyFill="1" applyBorder="1" applyAlignment="1">
      <alignment horizontal="center" vertical="center"/>
    </xf>
    <xf numFmtId="164" fontId="26" fillId="12" borderId="1" xfId="0" applyNumberFormat="1" applyFont="1" applyFill="1" applyBorder="1" applyAlignment="1">
      <alignment horizontal="right" vertical="center"/>
    </xf>
    <xf numFmtId="166" fontId="26" fillId="12" borderId="1" xfId="0" applyNumberFormat="1" applyFont="1" applyFill="1" applyBorder="1" applyAlignment="1">
      <alignment horizontal="right" vertical="center"/>
    </xf>
    <xf numFmtId="164" fontId="17" fillId="11" borderId="1" xfId="0" applyNumberFormat="1" applyFont="1" applyFill="1" applyBorder="1" applyAlignment="1">
      <alignment horizontal="right" vertical="center"/>
    </xf>
    <xf numFmtId="164" fontId="23" fillId="11" borderId="1" xfId="0" applyNumberFormat="1" applyFont="1" applyFill="1" applyBorder="1" applyAlignment="1">
      <alignment horizontal="right" vertical="center"/>
    </xf>
    <xf numFmtId="164" fontId="17" fillId="10" borderId="1" xfId="0" applyNumberFormat="1" applyFont="1" applyFill="1" applyBorder="1" applyAlignment="1">
      <alignment horizontal="right" vertical="center"/>
    </xf>
    <xf numFmtId="164" fontId="23" fillId="10" borderId="1" xfId="0" applyNumberFormat="1" applyFont="1" applyFill="1" applyBorder="1" applyAlignment="1">
      <alignment horizontal="right" vertical="center"/>
    </xf>
    <xf numFmtId="164" fontId="17" fillId="12" borderId="1" xfId="0" applyNumberFormat="1" applyFont="1" applyFill="1" applyBorder="1" applyAlignment="1">
      <alignment horizontal="right" vertical="center"/>
    </xf>
    <xf numFmtId="164" fontId="23" fillId="12" borderId="1" xfId="0" applyNumberFormat="1" applyFont="1" applyFill="1" applyBorder="1" applyAlignment="1">
      <alignment horizontal="right" vertical="center"/>
    </xf>
    <xf numFmtId="165" fontId="26" fillId="4" borderId="1" xfId="0" applyNumberFormat="1" applyFont="1" applyFill="1" applyBorder="1" applyAlignment="1">
      <alignment horizontal="right" vertical="center"/>
    </xf>
    <xf numFmtId="0" fontId="26" fillId="4" borderId="1" xfId="0" applyFont="1" applyFill="1" applyBorder="1" applyAlignment="1">
      <alignment horizontal="center" vertical="center"/>
    </xf>
    <xf numFmtId="165" fontId="25" fillId="5" borderId="1" xfId="0" applyNumberFormat="1" applyFont="1" applyFill="1" applyBorder="1" applyAlignment="1">
      <alignment horizontal="right" vertical="center"/>
    </xf>
    <xf numFmtId="165" fontId="26" fillId="5" borderId="1" xfId="0" applyNumberFormat="1" applyFont="1" applyFill="1" applyBorder="1" applyAlignment="1">
      <alignment horizontal="right" vertical="center"/>
    </xf>
    <xf numFmtId="0" fontId="22" fillId="5" borderId="1" xfId="0" applyFont="1" applyFill="1" applyBorder="1" applyAlignment="1">
      <alignment horizontal="center" vertical="center"/>
    </xf>
    <xf numFmtId="165" fontId="24" fillId="4" borderId="1" xfId="0" applyNumberFormat="1" applyFont="1" applyFill="1" applyBorder="1" applyAlignment="1">
      <alignment horizontal="right" vertical="center"/>
    </xf>
    <xf numFmtId="0" fontId="24" fillId="4" borderId="1" xfId="0" applyFont="1" applyFill="1" applyBorder="1" applyAlignment="1">
      <alignment horizontal="center" vertical="center"/>
    </xf>
    <xf numFmtId="164" fontId="24" fillId="5" borderId="1" xfId="0" applyNumberFormat="1" applyFont="1" applyFill="1" applyBorder="1" applyAlignment="1">
      <alignment horizontal="right" vertical="center"/>
    </xf>
    <xf numFmtId="164" fontId="26" fillId="5" borderId="1" xfId="0" applyNumberFormat="1" applyFont="1" applyFill="1" applyBorder="1" applyAlignment="1">
      <alignment horizontal="right" vertical="center"/>
    </xf>
    <xf numFmtId="0" fontId="24" fillId="5"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9" borderId="2" xfId="0" applyFont="1" applyFill="1" applyBorder="1" applyAlignment="1">
      <alignment horizontal="center" vertical="center"/>
    </xf>
    <xf numFmtId="0" fontId="13" fillId="9" borderId="3" xfId="0" applyFont="1" applyFill="1" applyBorder="1" applyAlignment="1">
      <alignment horizontal="center" vertical="center"/>
    </xf>
    <xf numFmtId="0" fontId="13" fillId="9" borderId="4"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4" xfId="0" applyFont="1" applyFill="1" applyBorder="1" applyAlignment="1">
      <alignment horizontal="center" vertical="center"/>
    </xf>
    <xf numFmtId="0" fontId="24" fillId="4" borderId="1" xfId="0" applyFont="1" applyFill="1" applyBorder="1" applyAlignment="1">
      <alignment horizontal="left" vertical="center" wrapText="1" indent="1"/>
    </xf>
    <xf numFmtId="0" fontId="24" fillId="5" borderId="1" xfId="0" applyFont="1" applyFill="1" applyBorder="1" applyAlignment="1">
      <alignment horizontal="left" vertical="center" wrapText="1" indent="1"/>
    </xf>
    <xf numFmtId="0" fontId="13" fillId="3" borderId="5" xfId="0" applyFont="1" applyFill="1" applyBorder="1" applyAlignment="1">
      <alignment horizontal="left" vertical="center"/>
    </xf>
    <xf numFmtId="0" fontId="13" fillId="3" borderId="6" xfId="0" applyFont="1" applyFill="1" applyBorder="1" applyAlignment="1">
      <alignment horizontal="left" vertical="center"/>
    </xf>
    <xf numFmtId="49" fontId="17" fillId="4" borderId="1" xfId="0" applyNumberFormat="1" applyFont="1" applyFill="1" applyBorder="1" applyAlignment="1">
      <alignment horizontal="left" vertical="center" wrapText="1"/>
    </xf>
    <xf numFmtId="49" fontId="17" fillId="5" borderId="1" xfId="0" applyNumberFormat="1" applyFont="1" applyFill="1" applyBorder="1" applyAlignment="1">
      <alignment horizontal="left" vertical="center" wrapText="1"/>
    </xf>
    <xf numFmtId="49" fontId="17" fillId="4" borderId="1" xfId="0" applyNumberFormat="1" applyFont="1" applyFill="1" applyBorder="1" applyAlignment="1">
      <alignment horizontal="center" vertical="center" wrapText="1"/>
    </xf>
    <xf numFmtId="49" fontId="17" fillId="5" borderId="1" xfId="0" applyNumberFormat="1" applyFont="1" applyFill="1" applyBorder="1" applyAlignment="1">
      <alignment horizontal="center" vertical="center" wrapText="1"/>
    </xf>
    <xf numFmtId="0" fontId="13" fillId="3" borderId="2" xfId="0" applyFont="1" applyFill="1" applyBorder="1" applyAlignment="1">
      <alignment horizontal="left" vertical="center"/>
    </xf>
    <xf numFmtId="0" fontId="13" fillId="3" borderId="3" xfId="0" applyFont="1" applyFill="1" applyBorder="1" applyAlignment="1">
      <alignment horizontal="left" vertical="center"/>
    </xf>
    <xf numFmtId="0" fontId="13" fillId="3" borderId="4" xfId="0" applyFont="1" applyFill="1" applyBorder="1" applyAlignment="1">
      <alignment horizontal="left" vertical="center"/>
    </xf>
    <xf numFmtId="0" fontId="13" fillId="7" borderId="1" xfId="0" applyFont="1" applyFill="1" applyBorder="1" applyAlignment="1">
      <alignment horizontal="center" vertical="center" wrapText="1"/>
    </xf>
    <xf numFmtId="0" fontId="8" fillId="0" borderId="0" xfId="0" applyFont="1" applyAlignment="1">
      <alignment vertical="center"/>
    </xf>
    <xf numFmtId="0" fontId="13" fillId="3" borderId="1" xfId="0" applyFont="1" applyFill="1" applyBorder="1" applyAlignment="1">
      <alignment horizontal="left" vertical="center" indent="1"/>
    </xf>
    <xf numFmtId="0" fontId="16" fillId="6" borderId="3" xfId="0" applyFont="1" applyFill="1" applyBorder="1" applyAlignment="1">
      <alignment horizontal="left" vertical="top" wrapText="1"/>
    </xf>
    <xf numFmtId="0" fontId="18" fillId="4" borderId="1" xfId="0" applyFont="1" applyFill="1" applyBorder="1" applyAlignment="1">
      <alignment horizontal="left" vertical="center" wrapText="1" indent="1"/>
    </xf>
    <xf numFmtId="0" fontId="18" fillId="4"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5" fillId="4" borderId="3" xfId="0" applyFont="1" applyFill="1" applyBorder="1" applyAlignment="1">
      <alignment horizontal="right" vertical="center"/>
    </xf>
    <xf numFmtId="0" fontId="5" fillId="4" borderId="4" xfId="0" applyFont="1" applyFill="1" applyBorder="1" applyAlignment="1">
      <alignment horizontal="right" vertical="center"/>
    </xf>
    <xf numFmtId="0" fontId="5" fillId="5" borderId="3" xfId="0" applyFont="1" applyFill="1" applyBorder="1" applyAlignment="1">
      <alignment horizontal="right" vertical="center"/>
    </xf>
    <xf numFmtId="0" fontId="5" fillId="5" borderId="4" xfId="0" applyFont="1" applyFill="1" applyBorder="1" applyAlignment="1">
      <alignment horizontal="right" vertical="center"/>
    </xf>
    <xf numFmtId="0" fontId="6" fillId="4" borderId="3" xfId="0" applyFont="1" applyFill="1" applyBorder="1" applyAlignment="1">
      <alignment horizontal="left" vertical="center"/>
    </xf>
    <xf numFmtId="0" fontId="6" fillId="4" borderId="4" xfId="0" applyFont="1" applyFill="1" applyBorder="1" applyAlignment="1">
      <alignment horizontal="left" vertical="center"/>
    </xf>
    <xf numFmtId="0" fontId="6" fillId="5" borderId="3" xfId="0" applyFont="1" applyFill="1" applyBorder="1" applyAlignment="1">
      <alignment horizontal="left" vertical="center"/>
    </xf>
    <xf numFmtId="0" fontId="6" fillId="5" borderId="4" xfId="0" applyFont="1" applyFill="1" applyBorder="1" applyAlignment="1">
      <alignment horizontal="left"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2" xfId="0" applyFont="1" applyFill="1" applyBorder="1" applyAlignment="1">
      <alignment vertical="center"/>
    </xf>
    <xf numFmtId="0" fontId="7" fillId="4" borderId="3" xfId="0" applyFont="1" applyFill="1" applyBorder="1" applyAlignment="1">
      <alignment vertical="center"/>
    </xf>
    <xf numFmtId="0" fontId="7" fillId="4"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13" fillId="9" borderId="2" xfId="0" applyFont="1" applyFill="1" applyBorder="1" applyAlignment="1">
      <alignment horizontal="left" vertical="center"/>
    </xf>
    <xf numFmtId="0" fontId="13" fillId="9" borderId="3" xfId="0" applyFont="1" applyFill="1" applyBorder="1" applyAlignment="1">
      <alignment horizontal="left" vertical="center"/>
    </xf>
    <xf numFmtId="0" fontId="13" fillId="9" borderId="4" xfId="0" applyFont="1" applyFill="1" applyBorder="1" applyAlignment="1">
      <alignment horizontal="left" vertical="center"/>
    </xf>
    <xf numFmtId="0" fontId="13" fillId="3" borderId="7" xfId="0" applyFont="1" applyFill="1" applyBorder="1" applyAlignment="1">
      <alignment horizontal="left" vertical="center"/>
    </xf>
    <xf numFmtId="0" fontId="4" fillId="3" borderId="6" xfId="0" applyFont="1" applyFill="1" applyBorder="1" applyAlignment="1">
      <alignment horizontal="left" vertical="center"/>
    </xf>
    <xf numFmtId="0" fontId="4" fillId="3" borderId="7"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400"/>
      <rgbColor rgb="FF000080"/>
      <rgbColor rgb="FF7F6000"/>
      <rgbColor rgb="FF800080"/>
      <rgbColor rgb="FF008080"/>
      <rgbColor rgb="FFC0C0C0"/>
      <rgbColor rgb="FF808080"/>
      <rgbColor rgb="FF9999FF"/>
      <rgbColor rgb="FF993366"/>
      <rgbColor rgb="FFF2F2F2"/>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0"/>
      <rgbColor rgb="FFE2EFDA"/>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1F3864"/>
      <rgbColor rgb="FF339966"/>
      <rgbColor rgb="FF0A2342"/>
      <rgbColor rgb="FF375623"/>
      <rgbColor rgb="FF993300"/>
      <rgbColor rgb="FF993366"/>
      <rgbColor rgb="FF333399"/>
      <rgbColor rgb="FF2D2D2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7"/>
  <sheetViews>
    <sheetView showGridLines="0" topLeftCell="A5" zoomScaleNormal="100" workbookViewId="0">
      <selection activeCell="C18" sqref="C18:E18"/>
    </sheetView>
  </sheetViews>
  <sheetFormatPr defaultColWidth="8.6640625" defaultRowHeight="14.4" x14ac:dyDescent="0.3"/>
  <cols>
    <col min="1" max="1" width="3" customWidth="1"/>
    <col min="2" max="2" width="28" customWidth="1"/>
    <col min="3" max="4" width="18" customWidth="1"/>
    <col min="5" max="5" width="19.44140625" customWidth="1"/>
    <col min="6" max="7" width="18" customWidth="1"/>
  </cols>
  <sheetData>
    <row r="1" spans="2:5" ht="6" customHeight="1" x14ac:dyDescent="0.3"/>
    <row r="3" spans="2:5" ht="36" customHeight="1" x14ac:dyDescent="0.3">
      <c r="B3" s="12" t="s">
        <v>0</v>
      </c>
      <c r="C3" s="12"/>
      <c r="D3" s="12"/>
      <c r="E3" s="12"/>
    </row>
    <row r="4" spans="2:5" ht="21.75" customHeight="1" x14ac:dyDescent="0.3">
      <c r="B4" s="11" t="s">
        <v>1</v>
      </c>
      <c r="C4" s="11"/>
      <c r="D4" s="11"/>
      <c r="E4" s="11"/>
    </row>
    <row r="5" spans="2:5" ht="18" customHeight="1" x14ac:dyDescent="0.3">
      <c r="B5" s="10" t="s">
        <v>2</v>
      </c>
      <c r="C5" s="10"/>
      <c r="D5" s="10"/>
      <c r="E5" s="10"/>
    </row>
    <row r="6" spans="2:5" ht="3.75" customHeight="1" x14ac:dyDescent="0.3">
      <c r="B6" s="13"/>
      <c r="C6" s="13"/>
      <c r="D6" s="13"/>
      <c r="E6" s="13"/>
    </row>
    <row r="7" spans="2:5" ht="9.75" customHeight="1" x14ac:dyDescent="0.3"/>
    <row r="8" spans="2:5" ht="18" customHeight="1" x14ac:dyDescent="0.3">
      <c r="B8" s="131" t="s">
        <v>3</v>
      </c>
      <c r="C8" s="131"/>
      <c r="D8" s="131"/>
      <c r="E8" s="132"/>
    </row>
    <row r="9" spans="2:5" ht="19.5" customHeight="1" x14ac:dyDescent="0.3">
      <c r="B9" s="14" t="s">
        <v>4</v>
      </c>
      <c r="C9" s="9" t="s">
        <v>5</v>
      </c>
      <c r="D9" s="114"/>
      <c r="E9" s="115"/>
    </row>
    <row r="10" spans="2:5" ht="19.5" customHeight="1" x14ac:dyDescent="0.3">
      <c r="B10" s="15" t="s">
        <v>6</v>
      </c>
      <c r="C10" s="8" t="s">
        <v>7</v>
      </c>
      <c r="D10" s="116"/>
      <c r="E10" s="117"/>
    </row>
    <row r="11" spans="2:5" ht="19.5" customHeight="1" x14ac:dyDescent="0.3">
      <c r="B11" s="14" t="s">
        <v>8</v>
      </c>
      <c r="C11" s="9" t="s">
        <v>9</v>
      </c>
      <c r="D11" s="114"/>
      <c r="E11" s="115"/>
    </row>
    <row r="12" spans="2:5" ht="19.5" customHeight="1" x14ac:dyDescent="0.3">
      <c r="B12" s="15" t="s">
        <v>10</v>
      </c>
      <c r="C12" s="8" t="s">
        <v>11</v>
      </c>
      <c r="D12" s="116"/>
      <c r="E12" s="117"/>
    </row>
    <row r="14" spans="2:5" ht="9.75" customHeight="1" x14ac:dyDescent="0.3"/>
    <row r="15" spans="2:5" ht="18" customHeight="1" x14ac:dyDescent="0.3">
      <c r="B15" s="131" t="s">
        <v>12</v>
      </c>
      <c r="C15" s="131"/>
      <c r="D15" s="131"/>
      <c r="E15" s="132"/>
    </row>
    <row r="16" spans="2:5" ht="16.5" customHeight="1" x14ac:dyDescent="0.3">
      <c r="B16" s="16" t="s">
        <v>13</v>
      </c>
      <c r="C16" s="7" t="s">
        <v>14</v>
      </c>
      <c r="D16" s="110"/>
      <c r="E16" s="111"/>
    </row>
    <row r="17" spans="2:5" ht="16.5" customHeight="1" x14ac:dyDescent="0.3">
      <c r="B17" s="17" t="s">
        <v>15</v>
      </c>
      <c r="C17" s="6" t="s">
        <v>16</v>
      </c>
      <c r="D17" s="112"/>
      <c r="E17" s="113"/>
    </row>
    <row r="18" spans="2:5" ht="16.5" customHeight="1" x14ac:dyDescent="0.3">
      <c r="B18" s="16" t="s">
        <v>17</v>
      </c>
      <c r="C18" s="7" t="s">
        <v>18</v>
      </c>
      <c r="D18" s="110"/>
      <c r="E18" s="111"/>
    </row>
    <row r="19" spans="2:5" ht="16.5" customHeight="1" x14ac:dyDescent="0.3">
      <c r="B19" s="17" t="s">
        <v>19</v>
      </c>
      <c r="C19" s="6" t="s">
        <v>20</v>
      </c>
      <c r="D19" s="112"/>
      <c r="E19" s="113"/>
    </row>
    <row r="20" spans="2:5" ht="16.5" customHeight="1" x14ac:dyDescent="0.3">
      <c r="B20" s="16" t="s">
        <v>21</v>
      </c>
      <c r="C20" s="7" t="s">
        <v>22</v>
      </c>
      <c r="D20" s="110"/>
      <c r="E20" s="111"/>
    </row>
    <row r="21" spans="2:5" ht="16.5" customHeight="1" x14ac:dyDescent="0.3">
      <c r="B21" s="17" t="s">
        <v>23</v>
      </c>
      <c r="C21" s="6" t="s">
        <v>24</v>
      </c>
      <c r="D21" s="112"/>
      <c r="E21" s="113"/>
    </row>
    <row r="22" spans="2:5" ht="16.5" customHeight="1" x14ac:dyDescent="0.3">
      <c r="B22" s="16" t="s">
        <v>25</v>
      </c>
      <c r="C22" s="7" t="s">
        <v>26</v>
      </c>
      <c r="D22" s="110"/>
      <c r="E22" s="111"/>
    </row>
    <row r="23" spans="2:5" ht="16.5" customHeight="1" x14ac:dyDescent="0.3">
      <c r="B23" s="17" t="s">
        <v>27</v>
      </c>
      <c r="C23" s="6" t="s">
        <v>28</v>
      </c>
      <c r="D23" s="112"/>
      <c r="E23" s="113"/>
    </row>
    <row r="24" spans="2:5" ht="16.5" customHeight="1" x14ac:dyDescent="0.3">
      <c r="B24" s="16" t="s">
        <v>29</v>
      </c>
      <c r="C24" s="7" t="s">
        <v>22</v>
      </c>
      <c r="D24" s="110"/>
      <c r="E24" s="111"/>
    </row>
    <row r="26" spans="2:5" ht="9.75" customHeight="1" x14ac:dyDescent="0.3"/>
    <row r="27" spans="2:5" ht="27.75" customHeight="1" x14ac:dyDescent="0.3"/>
  </sheetData>
  <mergeCells count="18">
    <mergeCell ref="C24:E24"/>
    <mergeCell ref="C9:E9"/>
    <mergeCell ref="C10:E10"/>
    <mergeCell ref="C11:E11"/>
    <mergeCell ref="C12:E12"/>
    <mergeCell ref="B15:E15"/>
    <mergeCell ref="B3:E3"/>
    <mergeCell ref="B4:E4"/>
    <mergeCell ref="B5:E5"/>
    <mergeCell ref="C16:E16"/>
    <mergeCell ref="C17:E17"/>
    <mergeCell ref="C18:E18"/>
    <mergeCell ref="C19:E19"/>
    <mergeCell ref="C20:E20"/>
    <mergeCell ref="C21:E21"/>
    <mergeCell ref="C22:E22"/>
    <mergeCell ref="C23:E23"/>
    <mergeCell ref="B8:E8"/>
  </mergeCells>
  <pageMargins left="0.75" right="0.75" top="1" bottom="1" header="0.511811023622047" footer="0.511811023622047"/>
  <pageSetup paperSize="9" orientation="portrait" horizontalDpi="300" verticalDpi="300"/>
  <ignoredErrors>
    <ignoredError sqref="C1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1"/>
  <sheetViews>
    <sheetView showGridLines="0" topLeftCell="A3" zoomScaleNormal="100" workbookViewId="0">
      <selection activeCell="D31" sqref="D31"/>
    </sheetView>
  </sheetViews>
  <sheetFormatPr defaultColWidth="8.6640625" defaultRowHeight="14.4" x14ac:dyDescent="0.3"/>
  <cols>
    <col min="1" max="1" width="3" customWidth="1"/>
    <col min="2" max="2" width="34" customWidth="1"/>
    <col min="3" max="6" width="16" customWidth="1"/>
    <col min="7" max="7" width="3" customWidth="1"/>
  </cols>
  <sheetData>
    <row r="1" spans="2:6" ht="6" customHeight="1" x14ac:dyDescent="0.3"/>
    <row r="2" spans="2:6" ht="27.75" customHeight="1" x14ac:dyDescent="0.3">
      <c r="B2" s="5" t="s">
        <v>30</v>
      </c>
      <c r="C2" s="5"/>
      <c r="D2" s="5"/>
      <c r="E2" s="5"/>
      <c r="F2" s="5"/>
    </row>
    <row r="3" spans="2:6" ht="15.75" customHeight="1" x14ac:dyDescent="0.3">
      <c r="B3" s="4" t="s">
        <v>31</v>
      </c>
      <c r="C3" s="4"/>
      <c r="D3" s="4"/>
      <c r="E3" s="4"/>
      <c r="F3" s="4"/>
    </row>
    <row r="4" spans="2:6" ht="15.75" customHeight="1" x14ac:dyDescent="0.3">
      <c r="B4" s="18" t="s">
        <v>32</v>
      </c>
      <c r="C4" s="19" t="s">
        <v>33</v>
      </c>
      <c r="D4" s="20" t="s">
        <v>34</v>
      </c>
    </row>
    <row r="5" spans="2:6" ht="7.5" customHeight="1" x14ac:dyDescent="0.3"/>
    <row r="6" spans="2:6" ht="19.5" customHeight="1" x14ac:dyDescent="0.3">
      <c r="B6" s="21"/>
      <c r="C6" s="21" t="s">
        <v>35</v>
      </c>
      <c r="D6" s="21" t="s">
        <v>36</v>
      </c>
      <c r="E6" s="21" t="s">
        <v>37</v>
      </c>
      <c r="F6" s="21" t="s">
        <v>38</v>
      </c>
    </row>
    <row r="7" spans="2:6" ht="15.75" customHeight="1" x14ac:dyDescent="0.3">
      <c r="B7" s="3" t="s">
        <v>39</v>
      </c>
      <c r="C7" s="3"/>
      <c r="D7" s="3"/>
      <c r="E7" s="3"/>
      <c r="F7" s="104"/>
    </row>
    <row r="8" spans="2:6" ht="16.5" customHeight="1" x14ac:dyDescent="0.3">
      <c r="B8" s="22" t="s">
        <v>40</v>
      </c>
      <c r="C8" s="23">
        <v>2800.2</v>
      </c>
      <c r="D8" s="23">
        <v>2700.5</v>
      </c>
      <c r="E8" s="23">
        <v>2490.8000000000002</v>
      </c>
      <c r="F8" s="23">
        <v>2445.1999999999998</v>
      </c>
    </row>
    <row r="9" spans="2:6" ht="16.5" customHeight="1" x14ac:dyDescent="0.3">
      <c r="B9" s="24" t="s">
        <v>41</v>
      </c>
      <c r="C9" s="25" t="s">
        <v>42</v>
      </c>
      <c r="D9" s="25">
        <f>D8/C8-1</f>
        <v>-3.560459967145202E-2</v>
      </c>
      <c r="E9" s="25">
        <f>E8/D8-1</f>
        <v>-7.7652286613590027E-2</v>
      </c>
      <c r="F9" s="25" t="s">
        <v>42</v>
      </c>
    </row>
    <row r="10" spans="2:6" ht="16.5" customHeight="1" x14ac:dyDescent="0.3">
      <c r="B10" s="22" t="s">
        <v>43</v>
      </c>
      <c r="C10" s="23">
        <v>-208.5</v>
      </c>
      <c r="D10" s="23">
        <v>3.5</v>
      </c>
      <c r="E10" s="23">
        <v>403.6</v>
      </c>
      <c r="F10" s="23">
        <v>465.8</v>
      </c>
    </row>
    <row r="11" spans="2:6" ht="16.5" customHeight="1" x14ac:dyDescent="0.3">
      <c r="B11" s="24" t="s">
        <v>44</v>
      </c>
      <c r="C11" s="25">
        <f>C10/C8</f>
        <v>-7.4458967216627384E-2</v>
      </c>
      <c r="D11" s="25">
        <f>D10/D8</f>
        <v>1.2960562858729864E-3</v>
      </c>
      <c r="E11" s="25">
        <f>E10/E8</f>
        <v>0.16203629356030191</v>
      </c>
      <c r="F11" s="25">
        <f>F10/F8</f>
        <v>0.19049566497628007</v>
      </c>
    </row>
    <row r="12" spans="2:6" ht="16.5" customHeight="1" x14ac:dyDescent="0.3">
      <c r="B12" s="22" t="s">
        <v>45</v>
      </c>
      <c r="C12" s="23">
        <v>-97.1</v>
      </c>
      <c r="D12" s="23">
        <v>-112.5</v>
      </c>
      <c r="E12" s="23">
        <v>-134.5</v>
      </c>
      <c r="F12" s="23">
        <v>-125.7</v>
      </c>
    </row>
    <row r="13" spans="2:6" ht="16.5" customHeight="1" x14ac:dyDescent="0.3">
      <c r="B13" s="26" t="s">
        <v>46</v>
      </c>
      <c r="C13" s="27">
        <v>-470</v>
      </c>
      <c r="D13" s="27">
        <v>-85.8</v>
      </c>
      <c r="E13" s="27">
        <v>323.7</v>
      </c>
      <c r="F13" s="27">
        <v>401.3</v>
      </c>
    </row>
    <row r="14" spans="2:6" ht="7.5" customHeight="1" x14ac:dyDescent="0.3"/>
    <row r="15" spans="2:6" ht="15.75" customHeight="1" x14ac:dyDescent="0.3">
      <c r="B15" s="3" t="s">
        <v>47</v>
      </c>
      <c r="C15" s="3"/>
      <c r="D15" s="3"/>
      <c r="E15" s="3"/>
      <c r="F15" s="104"/>
    </row>
    <row r="16" spans="2:6" ht="16.5" customHeight="1" x14ac:dyDescent="0.3">
      <c r="B16" s="28" t="s">
        <v>19</v>
      </c>
      <c r="C16" s="29">
        <v>814.1</v>
      </c>
      <c r="D16" s="29">
        <v>697.6</v>
      </c>
      <c r="E16" s="29">
        <v>1039.5</v>
      </c>
      <c r="F16" s="29">
        <v>1126.3</v>
      </c>
    </row>
    <row r="17" spans="2:6" ht="16.5" customHeight="1" x14ac:dyDescent="0.3">
      <c r="B17" s="30" t="s">
        <v>21</v>
      </c>
      <c r="C17" s="31">
        <v>1742.5</v>
      </c>
      <c r="D17" s="31">
        <v>1549</v>
      </c>
      <c r="E17" s="31">
        <v>1539</v>
      </c>
      <c r="F17" s="31">
        <v>1332.5</v>
      </c>
    </row>
    <row r="18" spans="2:6" ht="16.5" customHeight="1" x14ac:dyDescent="0.3">
      <c r="B18" s="32" t="s">
        <v>48</v>
      </c>
      <c r="C18" s="33">
        <f>C17-C16</f>
        <v>928.4</v>
      </c>
      <c r="D18" s="33">
        <f>D17-D16</f>
        <v>851.4</v>
      </c>
      <c r="E18" s="33">
        <f>E17-E16</f>
        <v>499.5</v>
      </c>
      <c r="F18" s="33">
        <f>F17-F16</f>
        <v>206.20000000000005</v>
      </c>
    </row>
    <row r="19" spans="2:6" ht="7.5" customHeight="1" x14ac:dyDescent="0.3"/>
    <row r="20" spans="2:6" ht="7.5" customHeight="1" x14ac:dyDescent="0.3"/>
    <row r="21" spans="2:6" ht="15" customHeight="1" x14ac:dyDescent="0.3">
      <c r="B21" s="2" t="s">
        <v>49</v>
      </c>
      <c r="C21" s="2"/>
      <c r="D21" s="2"/>
      <c r="E21" s="2"/>
      <c r="F21" s="2"/>
    </row>
  </sheetData>
  <mergeCells count="5">
    <mergeCell ref="B21:F21"/>
    <mergeCell ref="B2:F2"/>
    <mergeCell ref="B3:F3"/>
    <mergeCell ref="B7:F7"/>
    <mergeCell ref="B15:F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0"/>
  <sheetViews>
    <sheetView showGridLines="0" zoomScaleNormal="100" workbookViewId="0">
      <selection activeCell="L11" sqref="L11"/>
    </sheetView>
  </sheetViews>
  <sheetFormatPr defaultColWidth="8.6640625" defaultRowHeight="14.4" x14ac:dyDescent="0.3"/>
  <cols>
    <col min="1" max="1" width="3" customWidth="1"/>
    <col min="2" max="2" width="18.109375" customWidth="1"/>
    <col min="3" max="4" width="14" customWidth="1"/>
    <col min="5" max="6" width="13" customWidth="1"/>
    <col min="7" max="7" width="11" customWidth="1"/>
    <col min="8" max="8" width="19.33203125" customWidth="1"/>
    <col min="9" max="9" width="14.77734375" customWidth="1"/>
  </cols>
  <sheetData>
    <row r="1" spans="2:9" ht="6" customHeight="1" x14ac:dyDescent="0.3"/>
    <row r="2" spans="2:9" ht="27.75" customHeight="1" x14ac:dyDescent="0.3">
      <c r="B2" s="5" t="s">
        <v>50</v>
      </c>
      <c r="C2" s="5"/>
      <c r="D2" s="5"/>
      <c r="E2" s="5"/>
      <c r="F2" s="5"/>
      <c r="G2" s="5"/>
      <c r="H2" s="5"/>
      <c r="I2" s="5"/>
    </row>
    <row r="3" spans="2:9" ht="15.75" customHeight="1" x14ac:dyDescent="0.3">
      <c r="B3" s="4" t="s">
        <v>51</v>
      </c>
      <c r="C3" s="4"/>
      <c r="D3" s="4"/>
      <c r="E3" s="4"/>
      <c r="F3" s="4"/>
      <c r="G3" s="4"/>
      <c r="H3" s="4"/>
      <c r="I3" s="4"/>
    </row>
    <row r="5" spans="2:9" ht="15.75" customHeight="1" x14ac:dyDescent="0.3">
      <c r="B5" s="3" t="s">
        <v>52</v>
      </c>
      <c r="C5" s="3"/>
      <c r="D5" s="3"/>
      <c r="E5" s="3"/>
      <c r="F5" s="3"/>
      <c r="G5" s="3"/>
      <c r="H5" s="104"/>
    </row>
    <row r="6" spans="2:9" ht="18" customHeight="1" x14ac:dyDescent="0.3">
      <c r="B6" s="21" t="s">
        <v>53</v>
      </c>
      <c r="C6" s="21" t="s">
        <v>54</v>
      </c>
      <c r="D6" s="21" t="s">
        <v>55</v>
      </c>
      <c r="E6" s="21" t="s">
        <v>56</v>
      </c>
      <c r="F6" s="21" t="s">
        <v>57</v>
      </c>
      <c r="G6" s="21" t="s">
        <v>58</v>
      </c>
      <c r="H6" s="21" t="s">
        <v>59</v>
      </c>
    </row>
    <row r="7" spans="2:9" ht="24.6" customHeight="1" x14ac:dyDescent="0.3">
      <c r="B7" s="34" t="s">
        <v>60</v>
      </c>
      <c r="C7" s="29">
        <v>982.5</v>
      </c>
      <c r="D7" s="29"/>
      <c r="E7" s="35" t="s">
        <v>61</v>
      </c>
      <c r="F7" s="35" t="s">
        <v>62</v>
      </c>
      <c r="G7" s="35" t="s">
        <v>63</v>
      </c>
      <c r="H7" s="95" t="s">
        <v>160</v>
      </c>
    </row>
    <row r="8" spans="2:9" ht="22.8" customHeight="1" x14ac:dyDescent="0.3">
      <c r="B8" s="36" t="s">
        <v>64</v>
      </c>
      <c r="C8" s="31">
        <v>0</v>
      </c>
      <c r="D8" s="31">
        <v>100</v>
      </c>
      <c r="E8" s="37" t="s">
        <v>65</v>
      </c>
      <c r="F8" s="37" t="s">
        <v>66</v>
      </c>
      <c r="G8" s="37" t="s">
        <v>63</v>
      </c>
      <c r="H8" s="96" t="s">
        <v>161</v>
      </c>
    </row>
    <row r="9" spans="2:9" ht="16.5" customHeight="1" x14ac:dyDescent="0.3">
      <c r="B9" s="34" t="s">
        <v>67</v>
      </c>
      <c r="C9" s="29">
        <v>350</v>
      </c>
      <c r="D9" s="29"/>
      <c r="E9" s="35" t="s">
        <v>68</v>
      </c>
      <c r="F9" s="35" t="s">
        <v>69</v>
      </c>
      <c r="G9" s="35" t="s">
        <v>70</v>
      </c>
      <c r="H9" s="34" t="s">
        <v>71</v>
      </c>
    </row>
    <row r="10" spans="2:9" ht="16.5" customHeight="1" x14ac:dyDescent="0.3">
      <c r="B10" s="38" t="s">
        <v>21</v>
      </c>
      <c r="C10" s="39">
        <f>SUM(C7:C9)</f>
        <v>1332.5</v>
      </c>
      <c r="D10" s="39"/>
      <c r="E10" s="39"/>
      <c r="F10" s="39"/>
      <c r="G10" s="39"/>
      <c r="H10" s="39"/>
    </row>
    <row r="12" spans="2:9" ht="7.5" customHeight="1" x14ac:dyDescent="0.3"/>
    <row r="13" spans="2:9" ht="15.75" customHeight="1" x14ac:dyDescent="0.3">
      <c r="B13" s="3" t="s">
        <v>72</v>
      </c>
      <c r="C13" s="3"/>
      <c r="D13" s="3"/>
      <c r="E13" s="93" t="s">
        <v>73</v>
      </c>
      <c r="F13" s="94"/>
      <c r="G13" s="94"/>
      <c r="H13" s="94"/>
      <c r="I13" s="130"/>
    </row>
    <row r="14" spans="2:9" ht="18" customHeight="1" x14ac:dyDescent="0.3">
      <c r="B14" s="21" t="s">
        <v>74</v>
      </c>
      <c r="C14" s="21" t="s">
        <v>75</v>
      </c>
      <c r="D14" s="21" t="s">
        <v>76</v>
      </c>
      <c r="E14" s="21" t="s">
        <v>77</v>
      </c>
      <c r="F14" s="21" t="s">
        <v>78</v>
      </c>
      <c r="G14" s="21" t="s">
        <v>79</v>
      </c>
      <c r="H14" s="21" t="s">
        <v>80</v>
      </c>
      <c r="I14" s="21" t="s">
        <v>81</v>
      </c>
    </row>
    <row r="15" spans="2:9" ht="22.8" customHeight="1" x14ac:dyDescent="0.3">
      <c r="B15" s="40" t="s">
        <v>82</v>
      </c>
      <c r="C15" s="29">
        <v>2.5</v>
      </c>
      <c r="D15" s="41">
        <f>C15/$C$10</f>
        <v>1.876172607879925E-3</v>
      </c>
      <c r="E15" s="95" t="s">
        <v>83</v>
      </c>
      <c r="F15" s="29">
        <v>250</v>
      </c>
      <c r="G15" s="97" t="s">
        <v>84</v>
      </c>
      <c r="H15" s="29">
        <v>1126.3</v>
      </c>
      <c r="I15" s="42">
        <v>876.3</v>
      </c>
    </row>
    <row r="16" spans="2:9" ht="22.8" customHeight="1" x14ac:dyDescent="0.3">
      <c r="B16" s="43" t="s">
        <v>85</v>
      </c>
      <c r="C16" s="31">
        <v>10</v>
      </c>
      <c r="D16" s="25">
        <f>C16/$C$10</f>
        <v>7.5046904315196998E-3</v>
      </c>
      <c r="E16" s="96" t="s">
        <v>86</v>
      </c>
      <c r="F16" s="31">
        <v>1200</v>
      </c>
      <c r="G16" s="98" t="s">
        <v>84</v>
      </c>
      <c r="H16" s="31">
        <v>1660</v>
      </c>
      <c r="I16" s="44">
        <v>460</v>
      </c>
    </row>
    <row r="17" spans="2:9" ht="16.5" customHeight="1" x14ac:dyDescent="0.3">
      <c r="B17" s="40" t="s">
        <v>87</v>
      </c>
      <c r="C17" s="29">
        <v>10</v>
      </c>
      <c r="D17" s="41">
        <f>C17/$C$10</f>
        <v>7.5046904315196998E-3</v>
      </c>
    </row>
    <row r="18" spans="2:9" ht="16.5" customHeight="1" x14ac:dyDescent="0.3">
      <c r="B18" s="43" t="s">
        <v>66</v>
      </c>
      <c r="C18" s="31">
        <v>960</v>
      </c>
      <c r="D18" s="25">
        <f>C18/$C$10</f>
        <v>0.72045028142589118</v>
      </c>
    </row>
    <row r="19" spans="2:9" ht="16.5" customHeight="1" x14ac:dyDescent="0.3">
      <c r="B19" s="40" t="s">
        <v>88</v>
      </c>
      <c r="C19" s="29">
        <v>350</v>
      </c>
      <c r="D19" s="41">
        <f>C19/$C$10</f>
        <v>0.26266416510318952</v>
      </c>
    </row>
    <row r="21" spans="2:9" ht="7.5" customHeight="1" x14ac:dyDescent="0.3"/>
    <row r="22" spans="2:9" ht="15.75" customHeight="1" x14ac:dyDescent="0.3">
      <c r="B22" s="82" t="s">
        <v>89</v>
      </c>
      <c r="C22" s="84"/>
    </row>
    <row r="23" spans="2:9" ht="16.5" customHeight="1" x14ac:dyDescent="0.3">
      <c r="B23" s="28" t="s">
        <v>90</v>
      </c>
      <c r="C23" s="47">
        <v>2.86</v>
      </c>
    </row>
    <row r="24" spans="2:9" ht="16.5" customHeight="1" x14ac:dyDescent="0.3">
      <c r="B24" s="30" t="s">
        <v>91</v>
      </c>
      <c r="C24" s="48">
        <v>3.71</v>
      </c>
    </row>
    <row r="25" spans="2:9" ht="16.5" customHeight="1" x14ac:dyDescent="0.3">
      <c r="B25" s="28" t="s">
        <v>92</v>
      </c>
      <c r="C25" s="47">
        <v>0.44</v>
      </c>
    </row>
    <row r="27" spans="2:9" ht="7.5" customHeight="1" x14ac:dyDescent="0.3"/>
    <row r="28" spans="2:9" ht="54.6" customHeight="1" x14ac:dyDescent="0.3">
      <c r="B28" s="105" t="s">
        <v>162</v>
      </c>
      <c r="C28" s="105"/>
      <c r="D28" s="105"/>
      <c r="E28" s="105"/>
      <c r="F28" s="105"/>
      <c r="G28" s="105"/>
      <c r="H28" s="105"/>
      <c r="I28" s="105"/>
    </row>
    <row r="30" spans="2:9" ht="13.5" customHeight="1" x14ac:dyDescent="0.3">
      <c r="B30" s="2" t="s">
        <v>49</v>
      </c>
      <c r="C30" s="2"/>
      <c r="D30" s="2"/>
      <c r="E30" s="2"/>
      <c r="F30" s="2"/>
      <c r="G30" s="2"/>
      <c r="H30" s="2"/>
    </row>
  </sheetData>
  <mergeCells count="8">
    <mergeCell ref="B30:H30"/>
    <mergeCell ref="B22:C22"/>
    <mergeCell ref="E13:I13"/>
    <mergeCell ref="B28:I28"/>
    <mergeCell ref="B5:H5"/>
    <mergeCell ref="B13:D13"/>
    <mergeCell ref="B2:I2"/>
    <mergeCell ref="B3:I3"/>
  </mergeCells>
  <pageMargins left="0.75" right="0.75" top="1" bottom="1" header="0.511811023622047" footer="0.511811023622047"/>
  <pageSetup paperSize="9" orientation="portrait" horizontalDpi="300" verticalDpi="300"/>
  <ignoredErrors>
    <ignoredError sqref="E9 F8 B15:B1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47"/>
  <sheetViews>
    <sheetView showGridLines="0" topLeftCell="A31" zoomScaleNormal="100" workbookViewId="0">
      <selection activeCell="G30" sqref="G30"/>
    </sheetView>
  </sheetViews>
  <sheetFormatPr defaultColWidth="8.6640625" defaultRowHeight="14.4" x14ac:dyDescent="0.3"/>
  <cols>
    <col min="1" max="1" width="3" customWidth="1"/>
    <col min="2" max="2" width="13.88671875" customWidth="1"/>
    <col min="3" max="9" width="13" customWidth="1"/>
    <col min="10" max="10" width="3" customWidth="1"/>
    <col min="11" max="17" width="13" customWidth="1"/>
    <col min="18" max="18" width="3" customWidth="1"/>
    <col min="19" max="19" width="22" customWidth="1"/>
    <col min="20" max="21" width="14" customWidth="1"/>
    <col min="22" max="22" width="3" customWidth="1"/>
  </cols>
  <sheetData>
    <row r="1" spans="2:17" ht="6" customHeight="1" x14ac:dyDescent="0.3"/>
    <row r="2" spans="2:17" ht="27.75" customHeight="1" x14ac:dyDescent="0.3">
      <c r="B2" s="5" t="s">
        <v>93</v>
      </c>
      <c r="C2" s="5"/>
      <c r="D2" s="5"/>
      <c r="E2" s="5"/>
      <c r="F2" s="5"/>
      <c r="G2" s="5"/>
      <c r="H2" s="5"/>
    </row>
    <row r="3" spans="2:17" ht="15.75" customHeight="1" x14ac:dyDescent="0.3">
      <c r="B3" s="4" t="s">
        <v>94</v>
      </c>
      <c r="C3" s="4"/>
      <c r="D3" s="4"/>
      <c r="E3" s="4"/>
      <c r="F3" s="4"/>
      <c r="G3" s="4"/>
      <c r="H3" s="4"/>
      <c r="I3" s="103"/>
      <c r="J3" s="103"/>
      <c r="K3" s="103"/>
      <c r="L3" s="103"/>
      <c r="M3" s="103"/>
      <c r="N3" s="103"/>
      <c r="O3" s="103"/>
      <c r="P3" s="103"/>
      <c r="Q3" s="103"/>
    </row>
    <row r="5" spans="2:17" ht="15.75" customHeight="1" x14ac:dyDescent="0.3">
      <c r="B5" s="82" t="s">
        <v>95</v>
      </c>
      <c r="C5" s="83"/>
      <c r="D5" s="83"/>
      <c r="E5" s="83"/>
      <c r="F5" s="83"/>
      <c r="G5" s="83"/>
      <c r="H5" s="83"/>
    </row>
    <row r="6" spans="2:17" ht="18" customHeight="1" x14ac:dyDescent="0.3">
      <c r="B6" s="21"/>
      <c r="C6" s="21" t="s">
        <v>96</v>
      </c>
      <c r="D6" s="21" t="s">
        <v>97</v>
      </c>
      <c r="E6" s="21" t="s">
        <v>98</v>
      </c>
      <c r="F6" s="21" t="s">
        <v>99</v>
      </c>
      <c r="G6" s="21" t="s">
        <v>100</v>
      </c>
      <c r="H6" s="21" t="s">
        <v>101</v>
      </c>
    </row>
    <row r="7" spans="2:17" ht="16.5" customHeight="1" x14ac:dyDescent="0.3">
      <c r="B7" s="28" t="s">
        <v>102</v>
      </c>
      <c r="C7" s="29">
        <v>1179.5999999999999</v>
      </c>
      <c r="D7" s="29">
        <v>1126.3</v>
      </c>
      <c r="E7" s="29">
        <v>1214.8</v>
      </c>
      <c r="F7" s="29">
        <v>1307.3</v>
      </c>
      <c r="G7" s="29">
        <v>1397.8</v>
      </c>
      <c r="H7" s="45"/>
    </row>
    <row r="8" spans="2:17" ht="16.5" customHeight="1" x14ac:dyDescent="0.3">
      <c r="B8" s="30" t="s">
        <v>103</v>
      </c>
      <c r="C8" s="31">
        <v>126.2</v>
      </c>
      <c r="D8" s="31">
        <v>116</v>
      </c>
      <c r="E8" s="31">
        <v>120</v>
      </c>
      <c r="F8" s="31">
        <v>118</v>
      </c>
      <c r="G8" s="31">
        <v>115</v>
      </c>
      <c r="H8" s="46"/>
    </row>
    <row r="9" spans="2:17" ht="16.5" customHeight="1" x14ac:dyDescent="0.3">
      <c r="B9" s="28" t="s">
        <v>104</v>
      </c>
      <c r="C9" s="29">
        <v>-30</v>
      </c>
      <c r="D9" s="29">
        <v>-30</v>
      </c>
      <c r="E9" s="29">
        <v>-30</v>
      </c>
      <c r="F9" s="29">
        <v>-30</v>
      </c>
      <c r="G9" s="29">
        <v>-30</v>
      </c>
      <c r="H9" s="45"/>
    </row>
    <row r="10" spans="2:17" ht="16.5" customHeight="1" x14ac:dyDescent="0.3">
      <c r="B10" s="30" t="s">
        <v>105</v>
      </c>
      <c r="C10" s="31">
        <v>-2.5</v>
      </c>
      <c r="D10" s="31">
        <v>-2.5</v>
      </c>
      <c r="E10" s="31">
        <v>-2.5</v>
      </c>
      <c r="F10" s="31">
        <v>-2.5</v>
      </c>
      <c r="G10" s="31">
        <v>-2.5</v>
      </c>
      <c r="H10" s="46"/>
    </row>
    <row r="11" spans="2:17" ht="22.2" customHeight="1" x14ac:dyDescent="0.3">
      <c r="B11" s="106" t="s">
        <v>106</v>
      </c>
      <c r="C11" s="29">
        <v>5</v>
      </c>
      <c r="D11" s="29">
        <v>5</v>
      </c>
      <c r="E11" s="29">
        <v>5</v>
      </c>
      <c r="F11" s="29">
        <v>5</v>
      </c>
      <c r="G11" s="29">
        <v>5</v>
      </c>
      <c r="H11" s="45"/>
    </row>
    <row r="12" spans="2:17" ht="16.5" customHeight="1" x14ac:dyDescent="0.3">
      <c r="B12" s="49" t="s">
        <v>107</v>
      </c>
      <c r="C12" s="50">
        <v>-53.3</v>
      </c>
      <c r="D12" s="50">
        <v>88.5</v>
      </c>
      <c r="E12" s="50">
        <v>92.5</v>
      </c>
      <c r="F12" s="50">
        <v>90.5</v>
      </c>
      <c r="G12" s="50">
        <v>87.5</v>
      </c>
      <c r="H12" s="50">
        <f>SUM(C12:G12)</f>
        <v>305.7</v>
      </c>
    </row>
    <row r="13" spans="2:17" ht="16.5" customHeight="1" x14ac:dyDescent="0.3">
      <c r="B13" s="49" t="s">
        <v>108</v>
      </c>
      <c r="C13" s="50">
        <v>1126.3</v>
      </c>
      <c r="D13" s="50">
        <v>1214.8</v>
      </c>
      <c r="E13" s="50">
        <v>1307.3</v>
      </c>
      <c r="F13" s="50">
        <v>1397.8</v>
      </c>
      <c r="G13" s="50">
        <v>1485.3</v>
      </c>
      <c r="H13" s="50">
        <v>1485.3</v>
      </c>
    </row>
    <row r="15" spans="2:17" ht="7.5" customHeight="1" x14ac:dyDescent="0.3"/>
    <row r="16" spans="2:17" ht="15.75" customHeight="1" x14ac:dyDescent="0.3">
      <c r="B16" s="85" t="s">
        <v>109</v>
      </c>
      <c r="C16" s="86"/>
      <c r="D16" s="86"/>
      <c r="E16" s="86"/>
      <c r="F16" s="86"/>
      <c r="G16" s="86"/>
      <c r="H16" s="87"/>
    </row>
    <row r="17" spans="2:8" ht="18" customHeight="1" x14ac:dyDescent="0.3">
      <c r="B17" s="51"/>
      <c r="C17" s="51" t="s">
        <v>96</v>
      </c>
      <c r="D17" s="51" t="s">
        <v>97</v>
      </c>
      <c r="E17" s="51" t="s">
        <v>98</v>
      </c>
      <c r="F17" s="51" t="s">
        <v>99</v>
      </c>
      <c r="G17" s="51" t="s">
        <v>100</v>
      </c>
      <c r="H17" s="51" t="s">
        <v>101</v>
      </c>
    </row>
    <row r="18" spans="2:8" ht="16.5" customHeight="1" x14ac:dyDescent="0.3">
      <c r="B18" s="28" t="s">
        <v>102</v>
      </c>
      <c r="C18" s="29">
        <v>1179.5999999999999</v>
      </c>
      <c r="D18" s="29">
        <v>1126.3</v>
      </c>
      <c r="E18" s="29">
        <v>1146.3</v>
      </c>
      <c r="F18" s="29">
        <v>1169.3</v>
      </c>
      <c r="G18" s="29">
        <v>1191.3</v>
      </c>
      <c r="H18" s="45"/>
    </row>
    <row r="19" spans="2:8" ht="16.5" customHeight="1" x14ac:dyDescent="0.3">
      <c r="B19" s="30" t="s">
        <v>103</v>
      </c>
      <c r="C19" s="31">
        <v>126.2</v>
      </c>
      <c r="D19" s="31">
        <v>75</v>
      </c>
      <c r="E19" s="31">
        <v>78</v>
      </c>
      <c r="F19" s="31">
        <v>77</v>
      </c>
      <c r="G19" s="31">
        <v>75</v>
      </c>
      <c r="H19" s="46"/>
    </row>
    <row r="20" spans="2:8" ht="16.5" customHeight="1" x14ac:dyDescent="0.3">
      <c r="B20" s="28" t="s">
        <v>104</v>
      </c>
      <c r="C20" s="29">
        <v>-30</v>
      </c>
      <c r="D20" s="29">
        <v>-30</v>
      </c>
      <c r="E20" s="29">
        <v>-30</v>
      </c>
      <c r="F20" s="29">
        <v>-30</v>
      </c>
      <c r="G20" s="29">
        <v>-30</v>
      </c>
      <c r="H20" s="45"/>
    </row>
    <row r="21" spans="2:8" ht="16.5" customHeight="1" x14ac:dyDescent="0.3">
      <c r="B21" s="30" t="s">
        <v>105</v>
      </c>
      <c r="C21" s="31">
        <v>-10</v>
      </c>
      <c r="D21" s="31">
        <v>-10</v>
      </c>
      <c r="E21" s="31">
        <v>-10</v>
      </c>
      <c r="F21" s="31">
        <v>-10</v>
      </c>
      <c r="G21" s="31">
        <v>-10</v>
      </c>
      <c r="H21" s="46"/>
    </row>
    <row r="22" spans="2:8" ht="22.2" customHeight="1" x14ac:dyDescent="0.3">
      <c r="B22" s="106" t="s">
        <v>106</v>
      </c>
      <c r="C22" s="29">
        <v>-15</v>
      </c>
      <c r="D22" s="29">
        <v>-15</v>
      </c>
      <c r="E22" s="29">
        <v>-15</v>
      </c>
      <c r="F22" s="29">
        <v>-15</v>
      </c>
      <c r="G22" s="29">
        <v>-15</v>
      </c>
      <c r="H22" s="45"/>
    </row>
    <row r="23" spans="2:8" ht="16.5" customHeight="1" x14ac:dyDescent="0.3">
      <c r="B23" s="49" t="s">
        <v>107</v>
      </c>
      <c r="C23" s="50">
        <v>-53.3</v>
      </c>
      <c r="D23" s="50">
        <v>20</v>
      </c>
      <c r="E23" s="50">
        <v>23</v>
      </c>
      <c r="F23" s="50">
        <v>22</v>
      </c>
      <c r="G23" s="50">
        <v>20</v>
      </c>
      <c r="H23" s="50">
        <f>SUM(C23:G23)</f>
        <v>31.700000000000003</v>
      </c>
    </row>
    <row r="24" spans="2:8" ht="16.5" customHeight="1" x14ac:dyDescent="0.3">
      <c r="B24" s="49" t="s">
        <v>108</v>
      </c>
      <c r="C24" s="50">
        <v>1126.3</v>
      </c>
      <c r="D24" s="50">
        <v>1146.3</v>
      </c>
      <c r="E24" s="50">
        <v>1169.3</v>
      </c>
      <c r="F24" s="50">
        <v>1191.3</v>
      </c>
      <c r="G24" s="50">
        <v>1211.3</v>
      </c>
      <c r="H24" s="50">
        <v>1211.3</v>
      </c>
    </row>
    <row r="26" spans="2:8" ht="7.5" customHeight="1" x14ac:dyDescent="0.3"/>
    <row r="27" spans="2:8" ht="15.75" customHeight="1" x14ac:dyDescent="0.3">
      <c r="B27" s="82" t="s">
        <v>110</v>
      </c>
      <c r="C27" s="83"/>
      <c r="D27" s="83"/>
      <c r="E27" s="84"/>
    </row>
    <row r="28" spans="2:8" ht="18" customHeight="1" x14ac:dyDescent="0.3">
      <c r="B28" s="21" t="s">
        <v>111</v>
      </c>
      <c r="C28" s="21" t="s">
        <v>112</v>
      </c>
      <c r="D28" s="21" t="s">
        <v>113</v>
      </c>
      <c r="E28" s="21" t="s">
        <v>114</v>
      </c>
    </row>
    <row r="29" spans="2:8" ht="27" customHeight="1" x14ac:dyDescent="0.3">
      <c r="B29" s="107" t="s">
        <v>115</v>
      </c>
      <c r="C29" s="29">
        <v>1126.3</v>
      </c>
      <c r="D29" s="29">
        <v>1126.3</v>
      </c>
      <c r="E29" s="33">
        <v>0</v>
      </c>
    </row>
    <row r="30" spans="2:8" ht="28.8" customHeight="1" x14ac:dyDescent="0.3">
      <c r="B30" s="108" t="s">
        <v>116</v>
      </c>
      <c r="C30" s="31">
        <v>359</v>
      </c>
      <c r="D30" s="31">
        <v>31.7</v>
      </c>
      <c r="E30" s="52">
        <v>-327.3</v>
      </c>
    </row>
    <row r="31" spans="2:8" ht="31.8" customHeight="1" x14ac:dyDescent="0.3">
      <c r="B31" s="107" t="s">
        <v>117</v>
      </c>
      <c r="C31" s="29">
        <v>1485.3</v>
      </c>
      <c r="D31" s="29">
        <v>1211.3</v>
      </c>
      <c r="E31" s="53">
        <v>-274</v>
      </c>
    </row>
    <row r="32" spans="2:8" ht="27" customHeight="1" x14ac:dyDescent="0.3">
      <c r="B32" s="108" t="s">
        <v>118</v>
      </c>
      <c r="C32" s="31">
        <v>1332.5</v>
      </c>
      <c r="D32" s="31">
        <v>1332.5</v>
      </c>
      <c r="E32" s="54">
        <v>0</v>
      </c>
    </row>
    <row r="33" spans="2:8" ht="16.5" customHeight="1" x14ac:dyDescent="0.3">
      <c r="B33" s="109" t="s">
        <v>119</v>
      </c>
      <c r="C33" s="55">
        <v>152.80000000000001</v>
      </c>
      <c r="D33" s="55">
        <v>-121.2</v>
      </c>
      <c r="E33" s="56">
        <v>-274</v>
      </c>
    </row>
    <row r="34" spans="2:8" ht="22.2" customHeight="1" x14ac:dyDescent="0.3">
      <c r="B34" s="108" t="s">
        <v>120</v>
      </c>
      <c r="C34" s="31">
        <v>250</v>
      </c>
      <c r="D34" s="31">
        <v>250</v>
      </c>
      <c r="E34" s="54">
        <v>0</v>
      </c>
    </row>
    <row r="35" spans="2:8" ht="24" customHeight="1" x14ac:dyDescent="0.3">
      <c r="B35" s="107" t="s">
        <v>121</v>
      </c>
      <c r="C35" s="29">
        <v>1235.3</v>
      </c>
      <c r="D35" s="29">
        <v>961.3</v>
      </c>
      <c r="E35" s="53">
        <v>-274</v>
      </c>
    </row>
    <row r="37" spans="2:8" ht="7.5" customHeight="1" x14ac:dyDescent="0.3"/>
    <row r="38" spans="2:8" ht="15.75" customHeight="1" x14ac:dyDescent="0.3">
      <c r="B38" s="127" t="s">
        <v>122</v>
      </c>
      <c r="C38" s="128"/>
      <c r="D38" s="128"/>
      <c r="E38" s="129"/>
    </row>
    <row r="39" spans="2:8" ht="18" customHeight="1" x14ac:dyDescent="0.3">
      <c r="B39" s="21" t="s">
        <v>123</v>
      </c>
      <c r="C39" s="88" t="s">
        <v>124</v>
      </c>
      <c r="D39" s="89"/>
      <c r="E39" s="90"/>
    </row>
    <row r="40" spans="2:8" ht="38.4" customHeight="1" x14ac:dyDescent="0.3">
      <c r="B40" s="91" t="s">
        <v>125</v>
      </c>
      <c r="C40" s="121" t="s">
        <v>126</v>
      </c>
      <c r="D40" s="122"/>
      <c r="E40" s="123"/>
    </row>
    <row r="41" spans="2:8" ht="25.8" customHeight="1" x14ac:dyDescent="0.3">
      <c r="B41" s="92" t="s">
        <v>127</v>
      </c>
      <c r="C41" s="124" t="s">
        <v>128</v>
      </c>
      <c r="D41" s="125"/>
      <c r="E41" s="126"/>
    </row>
    <row r="42" spans="2:8" ht="45.6" customHeight="1" x14ac:dyDescent="0.3">
      <c r="B42" s="91" t="s">
        <v>129</v>
      </c>
      <c r="C42" s="118" t="s">
        <v>163</v>
      </c>
      <c r="D42" s="119"/>
      <c r="E42" s="120"/>
    </row>
    <row r="44" spans="2:8" ht="7.5" customHeight="1" x14ac:dyDescent="0.3"/>
    <row r="45" spans="2:8" ht="69.75" customHeight="1" x14ac:dyDescent="0.3">
      <c r="B45" s="1" t="s">
        <v>164</v>
      </c>
      <c r="C45" s="1"/>
      <c r="D45" s="1"/>
      <c r="E45" s="1"/>
      <c r="F45" s="1"/>
      <c r="G45" s="1"/>
      <c r="H45" s="1"/>
    </row>
    <row r="47" spans="2:8" ht="13.5" customHeight="1" x14ac:dyDescent="0.3">
      <c r="B47" s="2" t="s">
        <v>49</v>
      </c>
      <c r="C47" s="2"/>
      <c r="D47" s="2"/>
      <c r="E47" s="2"/>
      <c r="F47" s="2"/>
      <c r="G47" s="2"/>
      <c r="H47" s="2"/>
    </row>
  </sheetData>
  <mergeCells count="12">
    <mergeCell ref="B47:H47"/>
    <mergeCell ref="B27:E27"/>
    <mergeCell ref="B16:H16"/>
    <mergeCell ref="B5:H5"/>
    <mergeCell ref="C39:E39"/>
    <mergeCell ref="C40:E40"/>
    <mergeCell ref="C41:E41"/>
    <mergeCell ref="C42:E42"/>
    <mergeCell ref="B38:E38"/>
    <mergeCell ref="B45:H45"/>
    <mergeCell ref="B2:H2"/>
    <mergeCell ref="B3:H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29"/>
  <sheetViews>
    <sheetView showGridLines="0" tabSelected="1" topLeftCell="A8" zoomScaleNormal="100" workbookViewId="0">
      <selection activeCell="G22" sqref="G22"/>
    </sheetView>
  </sheetViews>
  <sheetFormatPr defaultColWidth="8.6640625" defaultRowHeight="14.4" x14ac:dyDescent="0.3"/>
  <cols>
    <col min="1" max="1" width="3" customWidth="1"/>
    <col min="2" max="2" width="14.77734375" customWidth="1"/>
    <col min="3" max="3" width="12.5546875" customWidth="1"/>
    <col min="4" max="4" width="9.33203125" customWidth="1"/>
    <col min="5" max="5" width="9.44140625" customWidth="1"/>
    <col min="6" max="6" width="8.44140625" customWidth="1"/>
    <col min="7" max="7" width="9.44140625" customWidth="1"/>
    <col min="8" max="8" width="9.5546875" customWidth="1"/>
    <col min="9" max="9" width="10.21875" customWidth="1"/>
    <col min="10" max="14" width="14" customWidth="1"/>
    <col min="15" max="15" width="3" customWidth="1"/>
  </cols>
  <sheetData>
    <row r="1" spans="2:14" ht="6" customHeight="1" x14ac:dyDescent="0.3"/>
    <row r="2" spans="2:14" ht="27.75" customHeight="1" x14ac:dyDescent="0.3">
      <c r="B2" s="5" t="s">
        <v>130</v>
      </c>
      <c r="C2" s="5"/>
      <c r="D2" s="5"/>
      <c r="E2" s="5"/>
      <c r="F2" s="5"/>
      <c r="G2" s="5"/>
      <c r="H2" s="5"/>
      <c r="I2" s="5"/>
    </row>
    <row r="3" spans="2:14" ht="15.75" customHeight="1" x14ac:dyDescent="0.3">
      <c r="B3" s="4" t="s">
        <v>131</v>
      </c>
      <c r="C3" s="4"/>
      <c r="D3" s="4"/>
      <c r="E3" s="4"/>
      <c r="F3" s="4"/>
      <c r="G3" s="4"/>
      <c r="H3" s="4"/>
      <c r="I3" s="4"/>
      <c r="J3" s="103"/>
      <c r="K3" s="103"/>
      <c r="L3" s="103"/>
      <c r="M3" s="103"/>
      <c r="N3" s="103"/>
    </row>
    <row r="5" spans="2:14" ht="15.75" customHeight="1" x14ac:dyDescent="0.3">
      <c r="B5" s="3" t="s">
        <v>132</v>
      </c>
      <c r="C5" s="3"/>
      <c r="D5" s="3"/>
      <c r="E5" s="104"/>
    </row>
    <row r="6" spans="2:14" ht="28.8" customHeight="1" x14ac:dyDescent="0.3">
      <c r="B6" s="21" t="s">
        <v>133</v>
      </c>
      <c r="C6" s="21" t="s">
        <v>134</v>
      </c>
      <c r="D6" s="21" t="s">
        <v>135</v>
      </c>
      <c r="E6" s="102" t="s">
        <v>136</v>
      </c>
    </row>
    <row r="7" spans="2:14" ht="16.5" customHeight="1" x14ac:dyDescent="0.3">
      <c r="B7" s="57" t="s">
        <v>137</v>
      </c>
      <c r="C7" s="58">
        <v>220</v>
      </c>
      <c r="D7" s="59">
        <v>3</v>
      </c>
      <c r="E7" s="58">
        <v>660</v>
      </c>
    </row>
    <row r="8" spans="2:14" ht="16.5" customHeight="1" x14ac:dyDescent="0.3">
      <c r="B8" s="60" t="s">
        <v>138</v>
      </c>
      <c r="C8" s="61">
        <v>450</v>
      </c>
      <c r="D8" s="62">
        <v>4</v>
      </c>
      <c r="E8" s="61">
        <v>1800</v>
      </c>
    </row>
    <row r="9" spans="2:14" ht="16.5" customHeight="1" x14ac:dyDescent="0.3">
      <c r="B9" s="63" t="s">
        <v>139</v>
      </c>
      <c r="C9" s="64">
        <v>600</v>
      </c>
      <c r="D9" s="65">
        <v>5</v>
      </c>
      <c r="E9" s="64">
        <v>3000</v>
      </c>
    </row>
    <row r="11" spans="2:14" ht="7.5" customHeight="1" x14ac:dyDescent="0.3"/>
    <row r="12" spans="2:14" ht="15.75" customHeight="1" x14ac:dyDescent="0.3">
      <c r="B12" s="99" t="s">
        <v>140</v>
      </c>
      <c r="C12" s="100"/>
      <c r="D12" s="100"/>
      <c r="E12" s="100"/>
      <c r="F12" s="100"/>
      <c r="G12" s="100"/>
      <c r="H12" s="100"/>
      <c r="I12" s="101"/>
    </row>
    <row r="13" spans="2:14" ht="25.8" customHeight="1" x14ac:dyDescent="0.3">
      <c r="B13" s="21"/>
      <c r="C13" s="21" t="s">
        <v>141</v>
      </c>
      <c r="D13" s="21" t="s">
        <v>142</v>
      </c>
      <c r="E13" s="102" t="s">
        <v>143</v>
      </c>
      <c r="F13" s="21" t="s">
        <v>60</v>
      </c>
      <c r="G13" s="21" t="s">
        <v>144</v>
      </c>
      <c r="H13" s="21" t="s">
        <v>145</v>
      </c>
      <c r="I13" s="102" t="s">
        <v>146</v>
      </c>
    </row>
    <row r="14" spans="2:14" ht="16.5" customHeight="1" x14ac:dyDescent="0.3">
      <c r="B14" s="57" t="s">
        <v>137</v>
      </c>
      <c r="C14" s="66">
        <v>660</v>
      </c>
      <c r="D14" s="66">
        <v>0</v>
      </c>
      <c r="E14" s="66">
        <v>660</v>
      </c>
      <c r="F14" s="67">
        <v>-982.5</v>
      </c>
      <c r="G14" s="67">
        <v>-322.5</v>
      </c>
      <c r="H14" s="66">
        <v>-350</v>
      </c>
      <c r="I14" s="67">
        <v>-672.5</v>
      </c>
    </row>
    <row r="15" spans="2:14" ht="16.5" customHeight="1" x14ac:dyDescent="0.3">
      <c r="B15" s="60" t="s">
        <v>138</v>
      </c>
      <c r="C15" s="68">
        <v>1800</v>
      </c>
      <c r="D15" s="68">
        <v>0</v>
      </c>
      <c r="E15" s="68">
        <v>1800</v>
      </c>
      <c r="F15" s="69">
        <v>-982.5</v>
      </c>
      <c r="G15" s="68">
        <v>817.5</v>
      </c>
      <c r="H15" s="68">
        <v>-350</v>
      </c>
      <c r="I15" s="68">
        <v>467.5</v>
      </c>
    </row>
    <row r="16" spans="2:14" ht="16.5" customHeight="1" x14ac:dyDescent="0.3">
      <c r="B16" s="63" t="s">
        <v>139</v>
      </c>
      <c r="C16" s="70">
        <v>3000</v>
      </c>
      <c r="D16" s="70">
        <v>0</v>
      </c>
      <c r="E16" s="70">
        <v>3000</v>
      </c>
      <c r="F16" s="71">
        <v>-982.5</v>
      </c>
      <c r="G16" s="70">
        <v>2017.5</v>
      </c>
      <c r="H16" s="70">
        <v>-350</v>
      </c>
      <c r="I16" s="70">
        <v>1667.5</v>
      </c>
    </row>
    <row r="18" spans="2:14" ht="7.5" customHeight="1" x14ac:dyDescent="0.3"/>
    <row r="19" spans="2:14" ht="15.75" customHeight="1" x14ac:dyDescent="0.3">
      <c r="B19" s="99" t="s">
        <v>147</v>
      </c>
      <c r="C19" s="100"/>
      <c r="D19" s="100"/>
      <c r="E19" s="100"/>
      <c r="F19" s="100"/>
      <c r="G19" s="101"/>
    </row>
    <row r="20" spans="2:14" ht="30" customHeight="1" x14ac:dyDescent="0.3">
      <c r="B20" s="21" t="s">
        <v>148</v>
      </c>
      <c r="C20" s="21" t="s">
        <v>149</v>
      </c>
      <c r="D20" s="102" t="s">
        <v>150</v>
      </c>
      <c r="E20" s="102" t="s">
        <v>151</v>
      </c>
      <c r="F20" s="102" t="s">
        <v>152</v>
      </c>
      <c r="G20" s="21" t="s">
        <v>153</v>
      </c>
    </row>
    <row r="21" spans="2:14" ht="16.5" customHeight="1" x14ac:dyDescent="0.3">
      <c r="B21" s="22" t="s">
        <v>142</v>
      </c>
      <c r="C21" s="29">
        <v>100</v>
      </c>
      <c r="D21" s="72">
        <v>1</v>
      </c>
      <c r="E21" s="72">
        <v>1</v>
      </c>
      <c r="F21" s="72">
        <v>1</v>
      </c>
      <c r="G21" s="73" t="s">
        <v>154</v>
      </c>
    </row>
    <row r="22" spans="2:14" ht="16.5" customHeight="1" x14ac:dyDescent="0.3">
      <c r="B22" s="26" t="s">
        <v>60</v>
      </c>
      <c r="C22" s="31">
        <v>982.5</v>
      </c>
      <c r="D22" s="74">
        <v>0.67200000000000004</v>
      </c>
      <c r="E22" s="75">
        <v>1</v>
      </c>
      <c r="F22" s="75">
        <v>1</v>
      </c>
      <c r="G22" s="76" t="s">
        <v>155</v>
      </c>
    </row>
    <row r="23" spans="2:14" ht="16.5" customHeight="1" x14ac:dyDescent="0.3">
      <c r="B23" s="22" t="s">
        <v>156</v>
      </c>
      <c r="C23" s="29">
        <v>350</v>
      </c>
      <c r="D23" s="77">
        <v>0</v>
      </c>
      <c r="E23" s="72">
        <v>1</v>
      </c>
      <c r="F23" s="72">
        <v>1</v>
      </c>
      <c r="G23" s="78" t="s">
        <v>157</v>
      </c>
    </row>
    <row r="24" spans="2:14" ht="16.5" customHeight="1" x14ac:dyDescent="0.3">
      <c r="B24" s="26" t="s">
        <v>158</v>
      </c>
      <c r="C24" s="31"/>
      <c r="D24" s="79">
        <v>0</v>
      </c>
      <c r="E24" s="80">
        <v>467.5</v>
      </c>
      <c r="F24" s="80">
        <v>1667.5</v>
      </c>
      <c r="G24" s="81" t="s">
        <v>157</v>
      </c>
    </row>
    <row r="26" spans="2:14" ht="7.5" customHeight="1" x14ac:dyDescent="0.3"/>
    <row r="27" spans="2:14" ht="79.5" customHeight="1" x14ac:dyDescent="0.3">
      <c r="B27" s="1" t="s">
        <v>159</v>
      </c>
      <c r="C27" s="1"/>
      <c r="D27" s="1"/>
      <c r="E27" s="1"/>
      <c r="F27" s="1"/>
      <c r="G27" s="1"/>
      <c r="H27" s="1"/>
      <c r="I27" s="1"/>
    </row>
    <row r="29" spans="2:14" ht="13.5" customHeight="1" x14ac:dyDescent="0.3">
      <c r="B29" s="2" t="s">
        <v>49</v>
      </c>
      <c r="C29" s="2"/>
      <c r="D29" s="2"/>
      <c r="E29" s="2"/>
      <c r="F29" s="2"/>
      <c r="G29" s="2"/>
      <c r="H29" s="2"/>
      <c r="I29" s="2"/>
      <c r="J29" s="2"/>
      <c r="K29" s="2"/>
      <c r="L29" s="2"/>
      <c r="M29" s="2"/>
      <c r="N29" s="2"/>
    </row>
  </sheetData>
  <mergeCells count="7">
    <mergeCell ref="B29:N29"/>
    <mergeCell ref="B19:G19"/>
    <mergeCell ref="B12:I12"/>
    <mergeCell ref="B27:I27"/>
    <mergeCell ref="B5:E5"/>
    <mergeCell ref="B2:I2"/>
    <mergeCell ref="B3:I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Historical Financials</vt:lpstr>
      <vt:lpstr>Capital Structure</vt:lpstr>
      <vt:lpstr>Liquidity Runway</vt:lpstr>
      <vt:lpstr>Recovery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Lewis Redmond</cp:lastModifiedBy>
  <cp:revision>0</cp:revision>
  <dcterms:created xsi:type="dcterms:W3CDTF">2026-06-06T13:47:57Z</dcterms:created>
  <dcterms:modified xsi:type="dcterms:W3CDTF">2026-06-06T15:11:16Z</dcterms:modified>
  <dc:language>en-US</dc:language>
</cp:coreProperties>
</file>